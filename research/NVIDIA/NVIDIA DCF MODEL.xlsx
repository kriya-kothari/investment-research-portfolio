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umptions" sheetId="2" r:id="rId6"/>
    <sheet state="visible" name="Historical Financials" sheetId="3" r:id="rId7"/>
    <sheet state="visible" name="Forecast" sheetId="4" r:id="rId8"/>
    <sheet state="visible" name="DCF Valuation" sheetId="5" r:id="rId9"/>
    <sheet state="visible" name="Sensitivity Analysis" sheetId="6" r:id="rId10"/>
    <sheet state="visible" name="Charts" sheetId="7" r:id="rId11"/>
  </sheets>
  <definedNames>
    <definedName name="WACC">Assumptions!$B$26</definedName>
    <definedName name="Current_Share_Price">Assumptions!$B$32</definedName>
    <definedName name="Diluted_Shares">Assumptions!$B$33</definedName>
    <definedName name="Terminal_Growth_Rate">Assumptions!$B$29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Grow revenue faster near-term, taper toward GDP-like growth by Year 5.
Steady-state operating margin; can ramp gradually toward a normalized level.
Effective cash tax rate applied to EBIT to derive NOPAT.
Capital expenditure as a % of revenue; should approximate D&amp;A at maturity.
Depreciation &amp; amortization as a % of revenue; added back since it is non-cash.
Cash tied up in working capital as the business grows; a cash outflow.
10-year government bond yield.
Expected excess return of equities over the risk-free rate.
Stock's sensitivity to the market; from a regression or a comparable-company source.
Formula: Risk-Free Rate + Beta x Equity Risk Premium.
Company's marginal borrowing rate (e.g., yield on outstanding bonds).
Statutory/marginal tax rate used to tax-shield the cost of debt.
Formula: Pre-Tax Cost of Debt x (1 - Tax Rate).
Share price x diluted shares outstanding (market cap).
Book value of debt is an acceptable proxy for market value.
Formula: Market Value of Equity + Market Value of Debt.
Formula: Market Value of Equity / Total Capital.
Formula: Market Value of Debt / Total Capital.
Formula: (Weight of Equity x Cost of Equity) + (Weight of Debt x After-Tax Cost of Debt).
Perpetual growth rate of FCFF after Year 5. Must stay below WACC and is typically capped near long-run nominal GDP growth (~2-3%).
Latest closing market price, used only to compare against intrinsic value — never feeds the DCF math itself.
Fully diluted share count from the latest 10-K/10-Q cover page.</t>
      </text>
    </comment>
    <comment authorId="0" ref="B16">
      <text>
        <t xml:space="preserve">Beta estimates for NVDA in the market range widely (roughly 1.25-1.9) depending on lookback window and source. 1.5 is used as a Base Case midpoint reflecting genuinely elevated volatility without adopting either tail estimate. See Bull/Bear WACC cases in the accompanying memo for sensitivity.</t>
      </text>
    </comment>
    <comment authorId="0" ref="B11">
      <text>
        <t xml:space="preserve">NOTE ON TEMPLATE MECHANICS: this template multiplies NWC% by the FULL revenue level each year (Revenue x NWC%), not by the year-over-year change in revenue. Values here were calibrated so that Revenue x NWC% approximates the actual historical dollar increase in NWC (which itself scales with revenue growth) - see Historical Financials for the ratios this was benchmarked against. Flag for review: this mechanic will overstate NWC consumption if revenue growth decelerates faster than the % is stepped down.</t>
      </text>
    </comment>
    <comment authorId="0" ref="B21">
      <text>
        <t xml:space="preserve">Market Value of Equity = Current Share Price (B32) x Diluted Shares Outstanding (B33) = $208.76 x 24,460M shares. Not a DCF input directly - used only to weight Cost of Equity and Cost of Debt in the WACC blend.</t>
      </text>
    </comment>
    <comment authorId="0" ref="B19">
      <text>
        <t xml:space="preserve">US federal statutory rate (21%) used here by convention for the debt tax shield in WACC, distinct from NVIDIA's own effective cash tax rate used elsewhere in the model (~16.5-19%).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Uses Cash &amp; Cash Equivalents + Short-Term Investments (not cash-only) for all 5 years. NVIDIA's short-term investments are highly liquid marketable securities that are the functional equivalent of cash; netting only 'Cash &amp; Equivalents' against debt would materially understate NVIDIA's true net cash position. Source: NVIDIA 10-K/10-Q balance sheets, FY2022-FY2026.</t>
      </text>
    </comment>
    <comment authorId="0" ref="B13">
      <text>
        <t xml:space="preserve">Left blank: FY2021 balance sheet data (needed to compute the FY2022 change in NWC) falls outside our 5-year source window. FCFF for Year -4 is therefore computed with Increase in NWC = 0, a modest overstatement for that single historical year only.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
Prior-year revenue grown by the Assumptions revenue-growth driver.
Linked from Assumptions — edit growth rates there, not here.
Formula: Revenue x Operating Margin (from Assumptions).
Formula: EBIT / Revenue (check that it matches the Assumptions input).
Linked from Assumptions.
Formula: EBIT x Tax Rate.
Formula: EBIT - Taxes.
Formula: Revenue x D&amp;A % (from Assumptions); added back as non-cash.
Formula: Revenue x CapEx % (from Assumptions); a cash outflow.
Formula: Revenue x NWC % (from Assumptions); a cash outflow as the business grows.
Formula: NOPAT + D&amp;A - CapEx - Increase in NWC. This is what gets discounted in the DCF Valuation sheet.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Linked from Forecast!row 14.
Years from the valuation date to each cash flow (end-of-year convention).
Formula: 1 / (1 + WACC) ^ Discount Period.
Formula: FCFF x Discount Factor.
Formula: Year 5 FCFF x (1 + Terminal Growth Rate).
Formula: Terminal Year FCFF / (WACC - Terminal Growth Rate).
Same discount factor as Year 5, since the terminal value sits at the end of Year 5.
Formula: Terminal Value x Year 5 Discount Factor.
Formula: Sum of PV of FCFF + PV of Terminal Value.
Most recent Net Debt from Historical Financials (Total Debt - Cash), shown as a reduction.
Formula: Enterprise Value - Net Debt.
Linked from Assumptions.
Formula: Equity Value / Diluted Shares Outstanding.
Linked from Assumptions — for comparison only, never an input to the valuation.
Formula: Intrinsic Value / Current Market Price - 1.
Audit check. Above ~85% suggests the story is being told mostly by the terminal value — revisit the explicit forecast length or drivers.</t>
      </text>
    </comment>
  </commentList>
</comments>
</file>

<file path=xl/sharedStrings.xml><?xml version="1.0" encoding="utf-8"?>
<sst xmlns="http://schemas.openxmlformats.org/spreadsheetml/2006/main" count="159" uniqueCount="132">
  <si>
    <t xml:space="preserve">DCF VALUATION MODEL </t>
  </si>
  <si>
    <t>ASSUMPTIONS</t>
  </si>
  <si>
    <t>HISTORICAL FINANCIALS ($ in millions)</t>
  </si>
  <si>
    <t>FORECAST ($ in millions)</t>
  </si>
  <si>
    <t>Company Name</t>
  </si>
  <si>
    <t>NVIDIA Corporation</t>
  </si>
  <si>
    <t>Base (Yr 0)</t>
  </si>
  <si>
    <t>Year -4</t>
  </si>
  <si>
    <t>FORECAST DRIVERS (5-YEAR EXPLICIT PERIOD)</t>
  </si>
  <si>
    <t>Ticker</t>
  </si>
  <si>
    <t>Year 1</t>
  </si>
  <si>
    <t>NVDA</t>
  </si>
  <si>
    <t>Year -3</t>
  </si>
  <si>
    <t>Year 2</t>
  </si>
  <si>
    <t>Currency</t>
  </si>
  <si>
    <t>Year -2</t>
  </si>
  <si>
    <t>Year 3</t>
  </si>
  <si>
    <t>USD</t>
  </si>
  <si>
    <t>Year -1</t>
  </si>
  <si>
    <t>Year 4</t>
  </si>
  <si>
    <t>Year 0 (Base)</t>
  </si>
  <si>
    <t>Year 5</t>
  </si>
  <si>
    <t>Analyst</t>
  </si>
  <si>
    <t>Revenue</t>
  </si>
  <si>
    <t>Equity Research Associate (NVDA Project)</t>
  </si>
  <si>
    <t>Valuation Date</t>
  </si>
  <si>
    <t>Total revenue / net sales.</t>
  </si>
  <si>
    <t>Revenue Growth %</t>
  </si>
  <si>
    <t>MODEL NAVIGATION</t>
  </si>
  <si>
    <t>Assumptions</t>
  </si>
  <si>
    <t>Central inputs: forecast drivers, WACC build, terminal growth, valuation inputs. Change the model here — everywhere else pulls from this sheet.</t>
  </si>
  <si>
    <t>Historical Financials</t>
  </si>
  <si>
    <t>Operating (EBIT) Margin %</t>
  </si>
  <si>
    <t>5 years of historical financial statement data feeding the forecast base year.</t>
  </si>
  <si>
    <t>Formula: Revenue this year / Revenue prior year - 1.</t>
  </si>
  <si>
    <t>Forecast</t>
  </si>
  <si>
    <t>EBIT</t>
  </si>
  <si>
    <t>5-year explicit projection of revenue, margins, and unlevered free cash flow (FCFF).</t>
  </si>
  <si>
    <t>DCF Valuation</t>
  </si>
  <si>
    <t>Discounts FCFF and terminal value to derive enterprise value, equity value, and intrinsic value per share.</t>
  </si>
  <si>
    <t>Operating income (earnings before interest and taxes).</t>
  </si>
  <si>
    <t>EBIT Margin %</t>
  </si>
  <si>
    <t>Tax Rate %</t>
  </si>
  <si>
    <t>Sensitivity Analysis</t>
  </si>
  <si>
    <t>WACC x Terminal Growth Rate grid showing intrinsic value per share under different scenarios.</t>
  </si>
  <si>
    <t>Charts</t>
  </si>
  <si>
    <t>Revenue/FCFF trend and intrinsic value vs. market price visualizations.</t>
  </si>
  <si>
    <t>CapEx (% of Revenue)</t>
  </si>
  <si>
    <t>Formula: EBIT / Revenue.</t>
  </si>
  <si>
    <t>Effective Tax Rate %</t>
  </si>
  <si>
    <t>D&amp;A (% of Revenue)</t>
  </si>
  <si>
    <t>Cash taxes paid / EBIT (or the reported effective tax rate).</t>
  </si>
  <si>
    <t>Taxes</t>
  </si>
  <si>
    <t>Increase in Net Working Capital (% of Revenue)</t>
  </si>
  <si>
    <t>Formula: EBIT x Effective Tax Rate.</t>
  </si>
  <si>
    <t>NOPAT</t>
  </si>
  <si>
    <t>WACC BUILD</t>
  </si>
  <si>
    <t>Risk-Free Rate</t>
  </si>
  <si>
    <t>Equity Risk Premium</t>
  </si>
  <si>
    <t>Formula: EBIT - Taxes (Net Operating Profit After Tax).</t>
  </si>
  <si>
    <t>D&amp;A</t>
  </si>
  <si>
    <t>Levered Beta</t>
  </si>
  <si>
    <t>Depreciation &amp; amortization, from the cash flow statement.</t>
  </si>
  <si>
    <t>CapEx</t>
  </si>
  <si>
    <t>Capital expenditures, from the cash flow statement (enter as a positive number).</t>
  </si>
  <si>
    <t>Cost of Equity (CAPM)</t>
  </si>
  <si>
    <t>Increase in Net Working Capital</t>
  </si>
  <si>
    <t>Change in (current assets - current liabilities, excluding cash &amp; debt). Positive = cash outflow.</t>
  </si>
  <si>
    <t>FCFF</t>
  </si>
  <si>
    <t>Pre-Tax Cost of Debt</t>
  </si>
  <si>
    <t>Marginal Tax Rate (for WACC)</t>
  </si>
  <si>
    <t>After-Tax Cost of Debt</t>
  </si>
  <si>
    <t>Formula: NOPAT + D&amp;A - CapEx - Increase in NWC (unlevered free cash flow).</t>
  </si>
  <si>
    <t>Diluted Shares Outstanding</t>
  </si>
  <si>
    <t>Market Value of Equity</t>
  </si>
  <si>
    <t>Weighted-average diluted shares, from the income statement.</t>
  </si>
  <si>
    <t>Cash &amp; Equivalents</t>
  </si>
  <si>
    <t>Market Value of Debt</t>
  </si>
  <si>
    <t>From the balance sheet.</t>
  </si>
  <si>
    <t>Total Debt</t>
  </si>
  <si>
    <t>Total Capital</t>
  </si>
  <si>
    <t>Short-term + long-term interest-bearing debt, from the balance sheet.</t>
  </si>
  <si>
    <t>Net Debt</t>
  </si>
  <si>
    <t>Weight of Equity</t>
  </si>
  <si>
    <t>Formula: Total Debt - Cash &amp; Equivalents.</t>
  </si>
  <si>
    <t>Weight of Debt</t>
  </si>
  <si>
    <t>WACC</t>
  </si>
  <si>
    <t>TERMINAL VALUE ASSUMPTION</t>
  </si>
  <si>
    <t>Terminal Growth Rate</t>
  </si>
  <si>
    <t>VALUATION INPUTS</t>
  </si>
  <si>
    <t>Current Share Price</t>
  </si>
  <si>
    <t>Diluted Shares Outstanding (millions)</t>
  </si>
  <si>
    <t>DCF VALUATION</t>
  </si>
  <si>
    <t>Discount Period</t>
  </si>
  <si>
    <t>Discount Factor</t>
  </si>
  <si>
    <t>PV of FCFF</t>
  </si>
  <si>
    <t>Sum of PV of FCFF (Years 1-5)</t>
  </si>
  <si>
    <t>TERMINAL VALUE (GORDON GROWTH)</t>
  </si>
  <si>
    <t>Terminal Year FCFF</t>
  </si>
  <si>
    <t>Terminal Value</t>
  </si>
  <si>
    <t>Discount Factor (Year 5)</t>
  </si>
  <si>
    <t>PV of Terminal Value</t>
  </si>
  <si>
    <t>ENTERPRISE VALUE TO INTRINSIC VALUE PER SHARE</t>
  </si>
  <si>
    <t>Enterprise Value</t>
  </si>
  <si>
    <t>Less: Net Debt</t>
  </si>
  <si>
    <t>Equity Value</t>
  </si>
  <si>
    <t>Intrinsic Value per Share</t>
  </si>
  <si>
    <t>Current Market Price</t>
  </si>
  <si>
    <t>Upside / (Downside)</t>
  </si>
  <si>
    <t>Check: Terminal Value as % of Enterprise Value</t>
  </si>
  <si>
    <t>SENSITIVITY ANALYSIS</t>
  </si>
  <si>
    <t>Output: Intrinsic Value per Share ($) across a range of WACC and Terminal Growth Rate combinations, holding the explicit-period forecast fixed.</t>
  </si>
  <si>
    <t>Base Case Intrinsic Value / Share</t>
  </si>
  <si>
    <t>Terminal Growth Rate →</t>
  </si>
  <si>
    <t>WACC ↓</t>
  </si>
  <si>
    <t>CHARTS</t>
  </si>
  <si>
    <t>CHART DATA</t>
  </si>
  <si>
    <t>Period</t>
  </si>
  <si>
    <t>Yr -4</t>
  </si>
  <si>
    <t>Yr -3</t>
  </si>
  <si>
    <t>Yr -2</t>
  </si>
  <si>
    <t>Yr -1</t>
  </si>
  <si>
    <t>Yr 0</t>
  </si>
  <si>
    <t>Yr 1</t>
  </si>
  <si>
    <t>Yr 2</t>
  </si>
  <si>
    <t>Yr 3</t>
  </si>
  <si>
    <t>Yr 4</t>
  </si>
  <si>
    <t>Yr 5</t>
  </si>
  <si>
    <t>Valuation Comparison</t>
  </si>
  <si>
    <t>Intrinsic Value / Share</t>
  </si>
  <si>
    <t>Reading the table</t>
  </si>
  <si>
    <t>Each cell independently recomputes enterprise value using the fixed 5-year FCFF forecast, discounted at that row's WACC, plus a terminal value built with that column's growth rate. Net Debt and Share Count stay constant. The center cell should equal the base case above.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</si>
</sst>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;&quot;($&quot;#,##0\);\-"/>
    <numFmt numFmtId="165" formatCode="0.0%"/>
    <numFmt numFmtId="166" formatCode="mmm\ dd&quot;, &quot;yyyy"/>
    <numFmt numFmtId="167" formatCode="#,##0;\(#,##0\);\-"/>
    <numFmt numFmtId="168" formatCode="\$#,##0.00;&quot;($&quot;#,##0.00\);\-"/>
    <numFmt numFmtId="169" formatCode="0.000"/>
  </numFmts>
  <fonts count="11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9.0"/>
      <color rgb="FF808080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FF"/>
      <name val="Arial"/>
    </font>
    <font>
      <b/>
      <sz val="10.0"/>
      <color rgb="FFFFFFFF"/>
      <name val="Arial"/>
    </font>
    <font>
      <b/>
      <sz val="11.0"/>
      <color rgb="FFFFFFFF"/>
      <name val="Arial"/>
    </font>
    <font/>
    <font>
      <sz val="10.0"/>
      <color rgb="FF000000"/>
      <name val="Arial"/>
    </font>
    <font>
      <sz val="10.0"/>
      <color rgb="FF00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2E5395"/>
        <bgColor rgb="FF2E5395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</fills>
  <borders count="11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3" fontId="6" numFmtId="0" xfId="0" applyAlignment="1" applyBorder="1" applyFill="1" applyFont="1">
      <alignment horizontal="center" shrinkToFit="0" vertical="bottom" wrapText="0"/>
    </xf>
    <xf borderId="3" fillId="3" fontId="6" numFmtId="0" xfId="0" applyAlignment="1" applyBorder="1" applyFont="1">
      <alignment horizontal="center" shrinkToFit="0" vertical="bottom" wrapText="0"/>
    </xf>
    <xf borderId="4" fillId="4" fontId="7" numFmtId="0" xfId="0" applyAlignment="1" applyBorder="1" applyFill="1" applyFont="1">
      <alignment shrinkToFit="0" vertical="bottom" wrapText="0"/>
    </xf>
    <xf borderId="5" fillId="0" fontId="8" numFmtId="0" xfId="0" applyBorder="1" applyFont="1"/>
    <xf borderId="6" fillId="0" fontId="8" numFmtId="0" xfId="0" applyBorder="1" applyFont="1"/>
    <xf borderId="0" fillId="0" fontId="9" numFmtId="0" xfId="0" applyAlignment="1" applyFon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  <xf borderId="1" fillId="0" fontId="9" numFmtId="165" xfId="0" applyAlignment="1" applyBorder="1" applyFont="1" applyNumberFormat="1">
      <alignment shrinkToFit="0" vertical="bottom" wrapText="0"/>
    </xf>
    <xf borderId="1" fillId="0" fontId="9" numFmtId="166" xfId="0" applyAlignment="1" applyBorder="1" applyFont="1" applyNumberFormat="1">
      <alignment shrinkToFit="0" vertical="bottom" wrapText="0"/>
    </xf>
    <xf borderId="1" fillId="0" fontId="10" numFmtId="164" xfId="0" applyAlignment="1" applyBorder="1" applyFont="1" applyNumberFormat="1">
      <alignment shrinkToFit="0" vertical="bottom" wrapText="0"/>
    </xf>
    <xf borderId="1" fillId="2" fontId="5" numFmtId="165" xfId="0" applyAlignment="1" applyBorder="1" applyFont="1" applyNumberFormat="1">
      <alignment shrinkToFit="0" vertical="bottom" wrapText="0"/>
    </xf>
    <xf borderId="7" fillId="4" fontId="7" numFmtId="0" xfId="0" applyAlignment="1" applyBorder="1" applyFont="1">
      <alignment shrinkToFit="0" vertical="bottom" wrapText="0"/>
    </xf>
    <xf borderId="8" fillId="0" fontId="8" numFmtId="0" xfId="0" applyBorder="1" applyFont="1"/>
    <xf borderId="9" fillId="0" fontId="8" numFmtId="0" xfId="0" applyBorder="1" applyFont="1"/>
    <xf borderId="2" fillId="0" fontId="4" numFmtId="0" xfId="0" applyAlignment="1" applyBorder="1" applyFont="1">
      <alignment shrinkToFit="0" vertical="bottom" wrapText="0"/>
    </xf>
    <xf borderId="1" fillId="0" fontId="9" numFmtId="164" xfId="0" applyAlignment="1" applyBorder="1" applyFont="1" applyNumberFormat="1">
      <alignment shrinkToFit="0" vertical="bottom" wrapText="0"/>
    </xf>
    <xf borderId="7" fillId="0" fontId="9" numFmtId="0" xfId="0" applyAlignment="1" applyBorder="1" applyFont="1">
      <alignment shrinkToFit="0" vertical="bottom" wrapText="1"/>
    </xf>
    <xf borderId="1" fillId="0" fontId="10" numFmtId="165" xfId="0" applyAlignment="1" applyBorder="1" applyFont="1" applyNumberFormat="1">
      <alignment shrinkToFit="0" vertical="bottom" wrapText="0"/>
    </xf>
    <xf borderId="0" fillId="5" fontId="7" numFmtId="0" xfId="0" applyAlignment="1" applyFill="1" applyFont="1">
      <alignment shrinkToFit="0" vertical="bottom" wrapText="0"/>
    </xf>
    <xf borderId="0" fillId="5" fontId="5" numFmtId="0" xfId="0" applyAlignment="1" applyFont="1">
      <alignment shrinkToFit="0" vertical="bottom" wrapText="0"/>
    </xf>
    <xf borderId="0" fillId="5" fontId="9" numFmtId="0" xfId="0" applyAlignment="1" applyFont="1">
      <alignment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0" fillId="5" fontId="10" numFmtId="0" xfId="0" applyAlignment="1" applyFont="1">
      <alignment shrinkToFit="0" vertical="bottom" wrapText="0"/>
    </xf>
    <xf borderId="10" fillId="5" fontId="3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6" fontId="4" numFmtId="164" xfId="0" applyAlignment="1" applyBorder="1" applyFill="1" applyFont="1" applyNumberFormat="1">
      <alignment shrinkToFit="0" vertical="bottom" wrapText="0"/>
    </xf>
    <xf borderId="1" fillId="2" fontId="5" numFmtId="2" xfId="0" applyAlignment="1" applyBorder="1" applyFont="1" applyNumberFormat="1">
      <alignment shrinkToFit="0" vertical="bottom" wrapText="0"/>
    </xf>
    <xf borderId="1" fillId="0" fontId="5" numFmtId="167" xfId="0" applyAlignment="1" applyBorder="1" applyFont="1" applyNumberFormat="1">
      <alignment shrinkToFit="0" vertical="bottom" wrapText="0"/>
    </xf>
    <xf borderId="1" fillId="2" fontId="5" numFmtId="164" xfId="0" applyAlignment="1" applyBorder="1" applyFont="1" applyNumberForma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7" fontId="4" numFmtId="165" xfId="0" applyAlignment="1" applyBorder="1" applyFill="1" applyFont="1" applyNumberFormat="1">
      <alignment shrinkToFit="0" vertical="bottom" wrapText="0"/>
    </xf>
    <xf borderId="1" fillId="2" fontId="5" numFmtId="168" xfId="0" applyAlignment="1" applyBorder="1" applyFont="1" applyNumberFormat="1">
      <alignment shrinkToFit="0" vertical="bottom" wrapText="0"/>
    </xf>
    <xf borderId="1" fillId="2" fontId="5" numFmtId="167" xfId="0" applyAlignment="1" applyBorder="1" applyFont="1" applyNumberFormat="1">
      <alignment shrinkToFit="0" vertical="bottom" wrapText="0"/>
    </xf>
    <xf borderId="1" fillId="0" fontId="5" numFmtId="1" xfId="0" applyAlignment="1" applyBorder="1" applyFont="1" applyNumberFormat="1">
      <alignment shrinkToFit="0" vertical="bottom" wrapText="0"/>
    </xf>
    <xf borderId="1" fillId="0" fontId="9" numFmtId="169" xfId="0" applyAlignment="1" applyBorder="1" applyFont="1" applyNumberFormat="1">
      <alignment shrinkToFit="0" vertical="bottom" wrapText="0"/>
    </xf>
    <xf borderId="1" fillId="7" fontId="4" numFmtId="164" xfId="0" applyAlignment="1" applyBorder="1" applyFont="1" applyNumberFormat="1">
      <alignment shrinkToFit="0" vertical="bottom" wrapText="0"/>
    </xf>
    <xf borderId="1" fillId="0" fontId="10" numFmtId="167" xfId="0" applyAlignment="1" applyBorder="1" applyFont="1" applyNumberFormat="1">
      <alignment shrinkToFit="0" vertical="bottom" wrapText="0"/>
    </xf>
    <xf borderId="1" fillId="2" fontId="4" numFmtId="168" xfId="0" applyAlignment="1" applyBorder="1" applyFont="1" applyNumberFormat="1">
      <alignment shrinkToFit="0" vertical="bottom" wrapText="0"/>
    </xf>
    <xf borderId="1" fillId="0" fontId="10" numFmtId="168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7" fontId="10" numFmtId="168" xfId="0" applyAlignment="1" applyBorder="1" applyFont="1" applyNumberFormat="1">
      <alignment shrinkToFit="0" vertical="bottom" wrapText="0"/>
    </xf>
    <xf borderId="4" fillId="3" fontId="6" numFmtId="0" xfId="0" applyAlignment="1" applyBorder="1" applyFont="1">
      <alignment horizontal="center" shrinkToFit="0" vertical="bottom" wrapText="0"/>
    </xf>
    <xf borderId="10" fillId="3" fontId="6" numFmtId="0" xfId="0" applyAlignment="1" applyBorder="1" applyFont="1">
      <alignment horizontal="center" shrinkToFit="0" vertical="bottom" wrapText="0"/>
    </xf>
    <xf borderId="1" fillId="7" fontId="4" numFmtId="165" xfId="0" applyAlignment="1" applyBorder="1" applyFont="1" applyNumberFormat="1">
      <alignment horizontal="center" shrinkToFit="0" vertical="bottom" wrapText="0"/>
    </xf>
    <xf borderId="1" fillId="0" fontId="9" numFmtId="168" xfId="0" applyAlignment="1" applyBorder="1" applyFont="1" applyNumberFormat="1">
      <alignment horizontal="center" shrinkToFit="0" vertical="bottom" wrapText="0"/>
    </xf>
    <xf borderId="4" fillId="4" fontId="7" numFmtId="0" xfId="0" applyAlignment="1" applyBorder="1" applyFont="1">
      <alignment readingOrder="0" shrinkToFit="0" vertical="bottom" wrapText="0"/>
    </xf>
    <xf borderId="10" fillId="3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&amp; FCFF: Historical + Forecast ($mm)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Revenue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Charts!$B$5:$K$5</c:f>
            </c:strRef>
          </c:cat>
          <c:val>
            <c:numRef>
              <c:f>Charts!$B$6:$K$6</c:f>
              <c:numCache/>
            </c:numRef>
          </c:val>
          <c:smooth val="1"/>
        </c:ser>
        <c:ser>
          <c:idx val="1"/>
          <c:order val="1"/>
          <c:tx>
            <c:v>FCFF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Charts!$B$5:$K$5</c:f>
            </c:strRef>
          </c:cat>
          <c:val>
            <c:numRef>
              <c:f>Charts!$B$7:$K$7</c:f>
              <c:numCache/>
            </c:numRef>
          </c:val>
          <c:smooth val="1"/>
        </c:ser>
        <c:axId val="1508855125"/>
        <c:axId val="1588494820"/>
      </c:lineChart>
      <c:catAx>
        <c:axId val="1508855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8494820"/>
      </c:catAx>
      <c:valAx>
        <c:axId val="1588494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c:rich>
          </c:tx>
          <c:overlay val="0"/>
        </c:title>
        <c:numFmt formatCode="\$#,##0;&quot;($&quot;#,##0\)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885512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Intrinsic Value per Share vs. Current Market Price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Charts!$A$10:$A$11</c:f>
            </c:strRef>
          </c:cat>
          <c:val>
            <c:numRef>
              <c:f>Charts!$B$10:$B$11</c:f>
              <c:numCache/>
            </c:numRef>
          </c:val>
        </c:ser>
        <c:axId val="330231040"/>
        <c:axId val="1442367036"/>
      </c:barChart>
      <c:catAx>
        <c:axId val="33023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2367036"/>
      </c:catAx>
      <c:valAx>
        <c:axId val="1442367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</c:title>
        <c:numFmt formatCode="\$#,##0.00;&quot;($&quot;#,##0.00\)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0231040"/>
      </c:valAx>
    </c:plotArea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682942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13</xdr:row>
      <xdr:rowOff>0</xdr:rowOff>
    </xdr:from>
    <xdr:ext cx="4105275" cy="3400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40.0"/>
    <col customWidth="1" min="3" max="3" width="4.0"/>
    <col customWidth="1" min="4" max="4" width="60.0"/>
    <col customWidth="1" min="5" max="26" width="8.71"/>
  </cols>
  <sheetData>
    <row r="1" ht="25.5" customHeight="1">
      <c r="A1" s="1" t="s">
        <v>0</v>
      </c>
    </row>
    <row r="2" ht="15.0" customHeight="1">
      <c r="A2" s="3"/>
      <c r="B2" s="4"/>
      <c r="C2" s="4"/>
      <c r="D2" s="4"/>
    </row>
    <row r="3">
      <c r="A3" s="4"/>
      <c r="B3" s="4"/>
      <c r="C3" s="4"/>
      <c r="D3" s="4"/>
    </row>
    <row r="4" ht="15.0" customHeight="1">
      <c r="A4" s="5" t="s">
        <v>4</v>
      </c>
      <c r="B4" s="7" t="s">
        <v>5</v>
      </c>
      <c r="C4" s="4"/>
      <c r="D4" s="4"/>
    </row>
    <row r="5" ht="15.0" customHeight="1">
      <c r="A5" s="5" t="s">
        <v>9</v>
      </c>
      <c r="B5" s="7" t="s">
        <v>11</v>
      </c>
      <c r="C5" s="4"/>
      <c r="D5" s="4"/>
    </row>
    <row r="6" ht="15.0" customHeight="1">
      <c r="A6" s="5" t="s">
        <v>14</v>
      </c>
      <c r="B6" s="7" t="s">
        <v>17</v>
      </c>
      <c r="C6" s="4"/>
      <c r="D6" s="4"/>
    </row>
    <row r="7" ht="15.0" customHeight="1">
      <c r="A7" s="5" t="s">
        <v>22</v>
      </c>
      <c r="B7" s="7" t="s">
        <v>24</v>
      </c>
      <c r="C7" s="4"/>
      <c r="D7" s="4"/>
    </row>
    <row r="8" ht="15.0" customHeight="1">
      <c r="A8" s="5" t="s">
        <v>25</v>
      </c>
      <c r="B8" s="17">
        <f>TODAY()</f>
        <v>46227</v>
      </c>
      <c r="C8" s="4"/>
      <c r="D8" s="4"/>
    </row>
    <row r="9">
      <c r="A9" s="4"/>
      <c r="B9" s="4"/>
      <c r="C9" s="4"/>
      <c r="D9" s="4"/>
    </row>
    <row r="10" ht="18.0" customHeight="1">
      <c r="A10" s="20" t="s">
        <v>28</v>
      </c>
      <c r="B10" s="21"/>
      <c r="C10" s="21"/>
      <c r="D10" s="22"/>
    </row>
    <row r="11" ht="27.75" customHeight="1">
      <c r="A11" s="23" t="s">
        <v>29</v>
      </c>
      <c r="B11" s="25" t="s">
        <v>30</v>
      </c>
      <c r="C11" s="21"/>
      <c r="D11" s="22"/>
    </row>
    <row r="12" ht="27.75" customHeight="1">
      <c r="A12" s="23" t="s">
        <v>31</v>
      </c>
      <c r="B12" s="25" t="s">
        <v>33</v>
      </c>
      <c r="C12" s="21"/>
      <c r="D12" s="22"/>
    </row>
    <row r="13" ht="27.75" customHeight="1">
      <c r="A13" s="23" t="s">
        <v>35</v>
      </c>
      <c r="B13" s="25" t="s">
        <v>37</v>
      </c>
      <c r="C13" s="21"/>
      <c r="D13" s="22"/>
    </row>
    <row r="14" ht="27.75" customHeight="1">
      <c r="A14" s="23" t="s">
        <v>38</v>
      </c>
      <c r="B14" s="25" t="s">
        <v>39</v>
      </c>
      <c r="C14" s="21"/>
      <c r="D14" s="22"/>
    </row>
    <row r="15" ht="27.75" customHeight="1">
      <c r="A15" s="23" t="s">
        <v>43</v>
      </c>
      <c r="B15" s="25" t="s">
        <v>44</v>
      </c>
      <c r="C15" s="21"/>
      <c r="D15" s="22"/>
    </row>
    <row r="16" ht="27.75" customHeight="1">
      <c r="A16" s="23" t="s">
        <v>45</v>
      </c>
      <c r="B16" s="25" t="s">
        <v>46</v>
      </c>
      <c r="C16" s="21"/>
      <c r="D16" s="22"/>
    </row>
    <row r="17">
      <c r="A17" s="4"/>
      <c r="B17" s="4"/>
      <c r="C17" s="4"/>
      <c r="D17" s="4"/>
    </row>
    <row r="18" ht="18.0" customHeight="1">
      <c r="A18" s="27"/>
    </row>
    <row r="19" ht="15.0" customHeight="1">
      <c r="A19" s="28"/>
      <c r="B19" s="29"/>
    </row>
    <row r="20" ht="15.0" customHeight="1">
      <c r="A20" s="29"/>
      <c r="B20" s="29"/>
    </row>
    <row r="21" ht="15.0" customHeight="1">
      <c r="A21" s="31"/>
      <c r="B21" s="29"/>
    </row>
    <row r="22" ht="15.0" customHeight="1">
      <c r="A22" s="32"/>
      <c r="B22" s="29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13">
    <mergeCell ref="B16:D16"/>
    <mergeCell ref="A18:D18"/>
    <mergeCell ref="B19:D19"/>
    <mergeCell ref="B20:D20"/>
    <mergeCell ref="B21:D21"/>
    <mergeCell ref="B22:D22"/>
    <mergeCell ref="A1:F1"/>
    <mergeCell ref="A10:D10"/>
    <mergeCell ref="B11:D11"/>
    <mergeCell ref="B12:D12"/>
    <mergeCell ref="B13:D13"/>
    <mergeCell ref="B14:D14"/>
    <mergeCell ref="B15:D15"/>
  </mergeCells>
  <printOptions horizontalCentered="1"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2.0"/>
    <col customWidth="1" min="2" max="6" width="13.0"/>
    <col customWidth="1" min="7" max="7" width="4.0"/>
    <col customWidth="1" min="8" max="8" width="46.0"/>
    <col customWidth="1" min="9" max="26" width="8.71"/>
  </cols>
  <sheetData>
    <row r="1" ht="25.5" customHeight="1">
      <c r="A1" s="2" t="s">
        <v>1</v>
      </c>
      <c r="G1" s="4"/>
      <c r="H1" s="4"/>
    </row>
    <row r="2" ht="15.0" customHeight="1">
      <c r="A2" s="3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 ht="18.0" customHeight="1">
      <c r="A4" s="10" t="s">
        <v>8</v>
      </c>
      <c r="B4" s="11"/>
      <c r="C4" s="11"/>
      <c r="D4" s="11"/>
      <c r="E4" s="11"/>
      <c r="F4" s="12"/>
      <c r="G4" s="4"/>
      <c r="H4" s="4"/>
    </row>
    <row r="5" ht="15.0" customHeight="1">
      <c r="A5" s="4"/>
      <c r="B5" s="8" t="s">
        <v>10</v>
      </c>
      <c r="C5" s="8" t="s">
        <v>13</v>
      </c>
      <c r="D5" s="8" t="s">
        <v>16</v>
      </c>
      <c r="E5" s="8" t="s">
        <v>19</v>
      </c>
      <c r="F5" s="8" t="s">
        <v>21</v>
      </c>
      <c r="G5" s="4"/>
      <c r="H5" s="4"/>
    </row>
    <row r="6" ht="21.75" customHeight="1">
      <c r="A6" s="13" t="s">
        <v>27</v>
      </c>
      <c r="B6" s="19">
        <v>0.6</v>
      </c>
      <c r="C6" s="19">
        <v>0.35</v>
      </c>
      <c r="D6" s="19">
        <v>0.22</v>
      </c>
      <c r="E6" s="19">
        <v>0.15</v>
      </c>
      <c r="F6" s="19">
        <v>0.1</v>
      </c>
      <c r="G6" s="4"/>
      <c r="H6" s="15"/>
    </row>
    <row r="7" ht="21.75" customHeight="1">
      <c r="A7" s="13" t="s">
        <v>32</v>
      </c>
      <c r="B7" s="19">
        <v>0.61</v>
      </c>
      <c r="C7" s="19">
        <v>0.6</v>
      </c>
      <c r="D7" s="19">
        <v>0.58</v>
      </c>
      <c r="E7" s="19">
        <v>0.56</v>
      </c>
      <c r="F7" s="19">
        <v>0.55</v>
      </c>
      <c r="G7" s="4"/>
      <c r="H7" s="15"/>
    </row>
    <row r="8" ht="15.0" customHeight="1">
      <c r="A8" s="13" t="s">
        <v>42</v>
      </c>
      <c r="B8" s="19">
        <v>0.165</v>
      </c>
      <c r="C8" s="19">
        <v>0.17</v>
      </c>
      <c r="D8" s="19">
        <v>0.175</v>
      </c>
      <c r="E8" s="19">
        <v>0.18</v>
      </c>
      <c r="F8" s="19">
        <v>0.19</v>
      </c>
      <c r="G8" s="4"/>
      <c r="H8" s="15"/>
    </row>
    <row r="9" ht="21.75" customHeight="1">
      <c r="A9" s="13" t="s">
        <v>47</v>
      </c>
      <c r="B9" s="19">
        <v>0.028</v>
      </c>
      <c r="C9" s="19">
        <v>0.03</v>
      </c>
      <c r="D9" s="19">
        <v>0.032</v>
      </c>
      <c r="E9" s="19">
        <v>0.033</v>
      </c>
      <c r="F9" s="19">
        <v>0.035</v>
      </c>
      <c r="G9" s="4"/>
      <c r="H9" s="15"/>
    </row>
    <row r="10" ht="21.75" customHeight="1">
      <c r="A10" s="13" t="s">
        <v>50</v>
      </c>
      <c r="B10" s="19">
        <v>0.014</v>
      </c>
      <c r="C10" s="19">
        <v>0.015</v>
      </c>
      <c r="D10" s="19">
        <v>0.016</v>
      </c>
      <c r="E10" s="19">
        <v>0.017</v>
      </c>
      <c r="F10" s="19">
        <v>0.018</v>
      </c>
      <c r="G10" s="4"/>
      <c r="H10" s="15"/>
    </row>
    <row r="11" ht="21.75" customHeight="1">
      <c r="A11" s="13" t="s">
        <v>53</v>
      </c>
      <c r="B11" s="19">
        <v>0.06</v>
      </c>
      <c r="C11" s="19">
        <v>0.055</v>
      </c>
      <c r="D11" s="19">
        <v>0.05</v>
      </c>
      <c r="E11" s="19">
        <v>0.045</v>
      </c>
      <c r="F11" s="19">
        <v>0.04</v>
      </c>
      <c r="G11" s="4"/>
      <c r="H11" s="15"/>
    </row>
    <row r="12">
      <c r="A12" s="4"/>
      <c r="B12" s="4"/>
      <c r="C12" s="4"/>
      <c r="D12" s="4"/>
      <c r="E12" s="4"/>
      <c r="F12" s="4"/>
      <c r="G12" s="4"/>
      <c r="H12" s="4"/>
    </row>
    <row r="13" ht="18.0" customHeight="1">
      <c r="A13" s="10" t="s">
        <v>56</v>
      </c>
      <c r="B13" s="11"/>
      <c r="C13" s="11"/>
      <c r="D13" s="11"/>
      <c r="E13" s="11"/>
      <c r="F13" s="12"/>
      <c r="G13" s="4"/>
      <c r="H13" s="4"/>
    </row>
    <row r="14" ht="15.0" customHeight="1">
      <c r="A14" s="13" t="s">
        <v>57</v>
      </c>
      <c r="B14" s="19">
        <v>0.045</v>
      </c>
      <c r="C14" s="4"/>
      <c r="D14" s="4"/>
      <c r="E14" s="4"/>
      <c r="F14" s="4"/>
      <c r="G14" s="4"/>
      <c r="H14" s="15"/>
    </row>
    <row r="15" ht="15.0" customHeight="1">
      <c r="A15" s="13" t="s">
        <v>58</v>
      </c>
      <c r="B15" s="19">
        <v>0.0475</v>
      </c>
      <c r="C15" s="4"/>
      <c r="D15" s="4"/>
      <c r="E15" s="4"/>
      <c r="F15" s="4"/>
      <c r="G15" s="4"/>
      <c r="H15" s="15"/>
    </row>
    <row r="16" ht="21.75" customHeight="1">
      <c r="A16" s="13" t="s">
        <v>61</v>
      </c>
      <c r="B16" s="35">
        <v>1.5</v>
      </c>
      <c r="C16" s="4"/>
      <c r="D16" s="4"/>
      <c r="E16" s="4"/>
      <c r="F16" s="4"/>
      <c r="G16" s="4"/>
      <c r="H16" s="15"/>
    </row>
    <row r="17" ht="15.0" customHeight="1">
      <c r="A17" s="13" t="s">
        <v>65</v>
      </c>
      <c r="B17" s="16">
        <f>B14+B16*B15</f>
        <v>0.11625</v>
      </c>
      <c r="C17" s="4"/>
      <c r="D17" s="4"/>
      <c r="E17" s="4"/>
      <c r="F17" s="4"/>
      <c r="G17" s="4"/>
      <c r="H17" s="15"/>
    </row>
    <row r="18" ht="21.75" customHeight="1">
      <c r="A18" s="13" t="s">
        <v>69</v>
      </c>
      <c r="B18" s="19">
        <v>0.03</v>
      </c>
      <c r="C18" s="4"/>
      <c r="D18" s="4"/>
      <c r="E18" s="4"/>
      <c r="F18" s="4"/>
      <c r="G18" s="4"/>
      <c r="H18" s="15"/>
    </row>
    <row r="19" ht="15.0" customHeight="1">
      <c r="A19" s="13" t="s">
        <v>70</v>
      </c>
      <c r="B19" s="19">
        <v>0.21</v>
      </c>
      <c r="C19" s="4"/>
      <c r="D19" s="4"/>
      <c r="E19" s="4"/>
      <c r="F19" s="4"/>
      <c r="G19" s="4"/>
      <c r="H19" s="15"/>
    </row>
    <row r="20" ht="15.0" customHeight="1">
      <c r="A20" s="13" t="s">
        <v>71</v>
      </c>
      <c r="B20" s="16">
        <f>B18*(1-B19)</f>
        <v>0.0237</v>
      </c>
      <c r="C20" s="4"/>
      <c r="D20" s="4"/>
      <c r="E20" s="4"/>
      <c r="F20" s="4"/>
      <c r="G20" s="4"/>
      <c r="H20" s="15"/>
    </row>
    <row r="21" ht="15.0" customHeight="1">
      <c r="A21" s="13" t="s">
        <v>74</v>
      </c>
      <c r="B21" s="37">
        <v>5106270.0</v>
      </c>
      <c r="C21" s="4"/>
      <c r="D21" s="4"/>
      <c r="E21" s="4"/>
      <c r="F21" s="4"/>
      <c r="G21" s="4"/>
      <c r="H21" s="15"/>
    </row>
    <row r="22" ht="15.0" customHeight="1">
      <c r="A22" s="13" t="s">
        <v>77</v>
      </c>
      <c r="B22" s="37">
        <v>12348.0</v>
      </c>
      <c r="C22" s="4"/>
      <c r="D22" s="4"/>
      <c r="E22" s="4"/>
      <c r="F22" s="4"/>
      <c r="G22" s="4"/>
      <c r="H22" s="15"/>
    </row>
    <row r="23" ht="15.0" customHeight="1">
      <c r="A23" s="13" t="s">
        <v>80</v>
      </c>
      <c r="B23" s="24">
        <f>B21+B22</f>
        <v>5118618</v>
      </c>
      <c r="C23" s="4"/>
      <c r="D23" s="4"/>
      <c r="E23" s="4"/>
      <c r="F23" s="4"/>
      <c r="G23" s="4"/>
      <c r="H23" s="15"/>
    </row>
    <row r="24" ht="15.0" customHeight="1">
      <c r="A24" s="13" t="s">
        <v>83</v>
      </c>
      <c r="B24" s="16">
        <f>IF(B23=0,0,B21/B23)</f>
        <v>0.9975876301</v>
      </c>
      <c r="C24" s="4"/>
      <c r="D24" s="4"/>
      <c r="E24" s="4"/>
      <c r="F24" s="4"/>
      <c r="G24" s="4"/>
      <c r="H24" s="15"/>
    </row>
    <row r="25" ht="15.0" customHeight="1">
      <c r="A25" s="13" t="s">
        <v>85</v>
      </c>
      <c r="B25" s="16">
        <f>IF(B23=0,0,B22/B23)</f>
        <v>0.002412369901</v>
      </c>
      <c r="C25" s="4"/>
      <c r="D25" s="4"/>
      <c r="E25" s="4"/>
      <c r="F25" s="4"/>
      <c r="G25" s="4"/>
      <c r="H25" s="15"/>
    </row>
    <row r="26" ht="21.75" customHeight="1">
      <c r="A26" s="33" t="s">
        <v>86</v>
      </c>
      <c r="B26" s="39">
        <f>B24*B17+B25*B20</f>
        <v>0.1160267352</v>
      </c>
      <c r="C26" s="4"/>
      <c r="D26" s="4"/>
      <c r="E26" s="4"/>
      <c r="F26" s="4"/>
      <c r="G26" s="4"/>
      <c r="H26" s="15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8.0" customHeight="1">
      <c r="A28" s="10" t="s">
        <v>87</v>
      </c>
      <c r="B28" s="11"/>
      <c r="C28" s="11"/>
      <c r="D28" s="11"/>
      <c r="E28" s="11"/>
      <c r="F28" s="12"/>
      <c r="G28" s="4"/>
      <c r="H28" s="4"/>
    </row>
    <row r="29" ht="32.25" customHeight="1">
      <c r="A29" s="13" t="s">
        <v>88</v>
      </c>
      <c r="B29" s="19">
        <v>0.03</v>
      </c>
      <c r="C29" s="4"/>
      <c r="D29" s="4"/>
      <c r="E29" s="4"/>
      <c r="F29" s="4"/>
      <c r="G29" s="4"/>
      <c r="H29" s="15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8.0" customHeight="1">
      <c r="A31" s="10" t="s">
        <v>89</v>
      </c>
      <c r="B31" s="11"/>
      <c r="C31" s="11"/>
      <c r="D31" s="11"/>
      <c r="E31" s="11"/>
      <c r="F31" s="12"/>
      <c r="G31" s="4"/>
      <c r="H31" s="4"/>
    </row>
    <row r="32" ht="21.75" customHeight="1">
      <c r="A32" s="13" t="s">
        <v>90</v>
      </c>
      <c r="B32" s="40">
        <v>208.76</v>
      </c>
      <c r="C32" s="4"/>
      <c r="D32" s="4"/>
      <c r="E32" s="4"/>
      <c r="F32" s="4"/>
      <c r="G32" s="4"/>
      <c r="H32" s="15"/>
    </row>
    <row r="33" ht="21.75" customHeight="1">
      <c r="A33" s="13" t="s">
        <v>91</v>
      </c>
      <c r="B33" s="41">
        <v>24460.0</v>
      </c>
      <c r="C33" s="4"/>
      <c r="D33" s="4"/>
      <c r="E33" s="4"/>
      <c r="F33" s="4"/>
      <c r="G33" s="4"/>
      <c r="H33" s="15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5">
    <mergeCell ref="A1:F1"/>
    <mergeCell ref="A4:F4"/>
    <mergeCell ref="A13:F13"/>
    <mergeCell ref="A28:F28"/>
    <mergeCell ref="A31:F31"/>
  </mergeCells>
  <printOptions horizontalCentered="1"/>
  <pageMargins bottom="1.0" footer="0.0" header="0.0" left="0.75" right="0.75" top="1.0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5" width="14.0"/>
    <col customWidth="1" min="6" max="6" width="15.0"/>
    <col customWidth="1" min="7" max="7" width="4.0"/>
    <col customWidth="1" min="8" max="8" width="46.0"/>
    <col customWidth="1" min="9" max="26" width="8.71"/>
  </cols>
  <sheetData>
    <row r="1" ht="25.5" customHeight="1">
      <c r="A1" s="2" t="s">
        <v>2</v>
      </c>
      <c r="G1" s="4"/>
      <c r="H1" s="4"/>
    </row>
    <row r="2" ht="15.0" customHeight="1">
      <c r="A2" s="3"/>
      <c r="B2" s="4"/>
      <c r="C2" s="4"/>
      <c r="D2" s="4"/>
      <c r="E2" s="4"/>
      <c r="F2" s="4"/>
      <c r="G2" s="4"/>
      <c r="H2" s="4"/>
    </row>
    <row r="3" ht="15.0" customHeight="1">
      <c r="A3" s="6"/>
      <c r="B3" s="9" t="s">
        <v>7</v>
      </c>
      <c r="C3" s="8" t="s">
        <v>12</v>
      </c>
      <c r="D3" s="8" t="s">
        <v>15</v>
      </c>
      <c r="E3" s="8" t="s">
        <v>18</v>
      </c>
      <c r="F3" s="8" t="s">
        <v>20</v>
      </c>
      <c r="G3" s="4"/>
      <c r="H3" s="4"/>
    </row>
    <row r="4" ht="15.0" customHeight="1">
      <c r="A4" s="13" t="s">
        <v>23</v>
      </c>
      <c r="B4" s="14">
        <v>26914.0</v>
      </c>
      <c r="C4" s="14">
        <v>26974.0</v>
      </c>
      <c r="D4" s="14">
        <v>60922.0</v>
      </c>
      <c r="E4" s="14">
        <v>130497.0</v>
      </c>
      <c r="F4" s="14">
        <v>215938.0</v>
      </c>
      <c r="G4" s="4"/>
      <c r="H4" s="15" t="s">
        <v>26</v>
      </c>
    </row>
    <row r="5" ht="15.0" customHeight="1">
      <c r="A5" s="13" t="s">
        <v>27</v>
      </c>
      <c r="B5" s="16"/>
      <c r="C5" s="16">
        <f t="shared" ref="C5:F5" si="1">IFERROR(C4/B4-1,"")</f>
        <v>0.002229323029</v>
      </c>
      <c r="D5" s="16">
        <f t="shared" si="1"/>
        <v>1.258545266</v>
      </c>
      <c r="E5" s="16">
        <f t="shared" si="1"/>
        <v>1.142034076</v>
      </c>
      <c r="F5" s="16">
        <f t="shared" si="1"/>
        <v>0.6547353579</v>
      </c>
      <c r="G5" s="4"/>
      <c r="H5" s="15" t="s">
        <v>34</v>
      </c>
    </row>
    <row r="6" ht="15.0" customHeight="1">
      <c r="A6" s="13" t="s">
        <v>36</v>
      </c>
      <c r="B6" s="14">
        <v>10041.0</v>
      </c>
      <c r="C6" s="14">
        <v>4224.0</v>
      </c>
      <c r="D6" s="14">
        <v>32972.0</v>
      </c>
      <c r="E6" s="14">
        <v>81453.0</v>
      </c>
      <c r="F6" s="14">
        <v>130387.0</v>
      </c>
      <c r="G6" s="4"/>
      <c r="H6" s="15" t="s">
        <v>40</v>
      </c>
    </row>
    <row r="7" ht="15.0" customHeight="1">
      <c r="A7" s="13" t="s">
        <v>41</v>
      </c>
      <c r="B7" s="16">
        <f t="shared" ref="B7:F7" si="2">IFERROR(B6/B4,"")</f>
        <v>0.3730772089</v>
      </c>
      <c r="C7" s="16">
        <f t="shared" si="2"/>
        <v>0.1565952399</v>
      </c>
      <c r="D7" s="16">
        <f t="shared" si="2"/>
        <v>0.5412166377</v>
      </c>
      <c r="E7" s="16">
        <f t="shared" si="2"/>
        <v>0.6241752684</v>
      </c>
      <c r="F7" s="16">
        <f t="shared" si="2"/>
        <v>0.6038168363</v>
      </c>
      <c r="G7" s="4"/>
      <c r="H7" s="15" t="s">
        <v>48</v>
      </c>
    </row>
    <row r="8" ht="15.0" customHeight="1">
      <c r="A8" s="13" t="s">
        <v>49</v>
      </c>
      <c r="B8" s="30">
        <v>0.019</v>
      </c>
      <c r="C8" s="30">
        <v>-0.0447</v>
      </c>
      <c r="D8" s="30">
        <v>0.12</v>
      </c>
      <c r="E8" s="30">
        <v>0.1326</v>
      </c>
      <c r="F8" s="30">
        <v>0.1512</v>
      </c>
      <c r="G8" s="4"/>
      <c r="H8" s="15" t="s">
        <v>51</v>
      </c>
    </row>
    <row r="9" ht="15.0" customHeight="1">
      <c r="A9" s="13" t="s">
        <v>52</v>
      </c>
      <c r="B9" s="24">
        <f t="shared" ref="B9:F9" si="3">B6*B8</f>
        <v>190.779</v>
      </c>
      <c r="C9" s="24">
        <f t="shared" si="3"/>
        <v>-188.8128</v>
      </c>
      <c r="D9" s="24">
        <f t="shared" si="3"/>
        <v>3956.64</v>
      </c>
      <c r="E9" s="24">
        <f t="shared" si="3"/>
        <v>10800.6678</v>
      </c>
      <c r="F9" s="24">
        <f t="shared" si="3"/>
        <v>19714.5144</v>
      </c>
      <c r="G9" s="4"/>
      <c r="H9" s="15" t="s">
        <v>54</v>
      </c>
    </row>
    <row r="10" ht="15.0" customHeight="1">
      <c r="A10" s="33" t="s">
        <v>55</v>
      </c>
      <c r="B10" s="34">
        <f t="shared" ref="B10:F10" si="4">B6-B9</f>
        <v>9850.221</v>
      </c>
      <c r="C10" s="34">
        <f t="shared" si="4"/>
        <v>4412.8128</v>
      </c>
      <c r="D10" s="34">
        <f t="shared" si="4"/>
        <v>29015.36</v>
      </c>
      <c r="E10" s="34">
        <f t="shared" si="4"/>
        <v>70652.3322</v>
      </c>
      <c r="F10" s="34">
        <f t="shared" si="4"/>
        <v>110672.4856</v>
      </c>
      <c r="G10" s="4"/>
      <c r="H10" s="15" t="s">
        <v>59</v>
      </c>
    </row>
    <row r="11" ht="15.0" customHeight="1">
      <c r="A11" s="13" t="s">
        <v>60</v>
      </c>
      <c r="B11" s="14">
        <v>1174.0</v>
      </c>
      <c r="C11" s="14">
        <v>1544.0</v>
      </c>
      <c r="D11" s="14">
        <v>1508.0</v>
      </c>
      <c r="E11" s="14">
        <v>1864.0</v>
      </c>
      <c r="F11" s="14">
        <v>2843.0</v>
      </c>
      <c r="G11" s="4"/>
      <c r="H11" s="15" t="s">
        <v>62</v>
      </c>
    </row>
    <row r="12" ht="21.75" customHeight="1">
      <c r="A12" s="13" t="s">
        <v>63</v>
      </c>
      <c r="B12" s="14">
        <v>976.0</v>
      </c>
      <c r="C12" s="14">
        <v>1833.0</v>
      </c>
      <c r="D12" s="14">
        <v>1069.0</v>
      </c>
      <c r="E12" s="14">
        <v>3236.0</v>
      </c>
      <c r="F12" s="14">
        <v>6042.0</v>
      </c>
      <c r="G12" s="4"/>
      <c r="H12" s="15" t="s">
        <v>64</v>
      </c>
    </row>
    <row r="13" ht="21.75" customHeight="1">
      <c r="A13" s="13" t="s">
        <v>66</v>
      </c>
      <c r="B13" s="14"/>
      <c r="C13" s="14">
        <v>1178.0</v>
      </c>
      <c r="D13" s="14">
        <v>4516.0</v>
      </c>
      <c r="E13" s="14">
        <v>9889.0</v>
      </c>
      <c r="F13" s="14">
        <v>13016.0</v>
      </c>
      <c r="G13" s="4"/>
      <c r="H13" s="15" t="s">
        <v>67</v>
      </c>
    </row>
    <row r="14" ht="21.75" customHeight="1">
      <c r="A14" s="33" t="s">
        <v>68</v>
      </c>
      <c r="B14" s="34">
        <f t="shared" ref="B14:F14" si="5">B10+B11-B12-B13</f>
        <v>10048.221</v>
      </c>
      <c r="C14" s="34">
        <f t="shared" si="5"/>
        <v>2945.8128</v>
      </c>
      <c r="D14" s="34">
        <f t="shared" si="5"/>
        <v>24938.36</v>
      </c>
      <c r="E14" s="34">
        <f t="shared" si="5"/>
        <v>59391.3322</v>
      </c>
      <c r="F14" s="34">
        <f t="shared" si="5"/>
        <v>94457.4856</v>
      </c>
      <c r="G14" s="4"/>
      <c r="H14" s="15" t="s">
        <v>72</v>
      </c>
    </row>
    <row r="15" ht="6.0" customHeight="1">
      <c r="A15" s="4"/>
      <c r="B15" s="4"/>
      <c r="C15" s="4"/>
      <c r="D15" s="4"/>
      <c r="E15" s="4"/>
      <c r="F15" s="4"/>
      <c r="G15" s="4"/>
      <c r="H15" s="4"/>
    </row>
    <row r="16" ht="21.75" customHeight="1">
      <c r="A16" s="13" t="s">
        <v>73</v>
      </c>
      <c r="B16" s="36">
        <v>25350.0</v>
      </c>
      <c r="C16" s="36">
        <v>25070.0</v>
      </c>
      <c r="D16" s="36">
        <v>24940.0</v>
      </c>
      <c r="E16" s="36">
        <v>24804.0</v>
      </c>
      <c r="F16" s="36">
        <v>24514.0</v>
      </c>
      <c r="G16" s="4"/>
      <c r="H16" s="15" t="s">
        <v>75</v>
      </c>
    </row>
    <row r="17" ht="15.0" customHeight="1">
      <c r="A17" s="13" t="s">
        <v>76</v>
      </c>
      <c r="B17" s="14">
        <v>21208.0</v>
      </c>
      <c r="C17" s="14">
        <v>13296.0</v>
      </c>
      <c r="D17" s="14">
        <v>25984.0</v>
      </c>
      <c r="E17" s="14">
        <v>43210.0</v>
      </c>
      <c r="F17" s="14">
        <v>62556.0</v>
      </c>
      <c r="G17" s="4"/>
      <c r="H17" s="15" t="s">
        <v>78</v>
      </c>
    </row>
    <row r="18" ht="21.75" customHeight="1">
      <c r="A18" s="13" t="s">
        <v>79</v>
      </c>
      <c r="B18" s="14">
        <v>11687.0</v>
      </c>
      <c r="C18" s="14">
        <v>11855.0</v>
      </c>
      <c r="D18" s="14">
        <v>10828.0</v>
      </c>
      <c r="E18" s="14">
        <v>9982.0</v>
      </c>
      <c r="F18" s="14">
        <v>11040.0</v>
      </c>
      <c r="G18" s="4"/>
      <c r="H18" s="15" t="s">
        <v>81</v>
      </c>
    </row>
    <row r="19" ht="15.0" customHeight="1">
      <c r="A19" s="33" t="s">
        <v>82</v>
      </c>
      <c r="B19" s="38">
        <f t="shared" ref="B19:F19" si="6">B18-B17</f>
        <v>-9521</v>
      </c>
      <c r="C19" s="38">
        <f t="shared" si="6"/>
        <v>-1441</v>
      </c>
      <c r="D19" s="38">
        <f t="shared" si="6"/>
        <v>-15156</v>
      </c>
      <c r="E19" s="38">
        <f t="shared" si="6"/>
        <v>-33228</v>
      </c>
      <c r="F19" s="38">
        <f t="shared" si="6"/>
        <v>-51516</v>
      </c>
      <c r="G19" s="4"/>
      <c r="H19" s="15" t="s">
        <v>84</v>
      </c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5.75" customHeight="1">
      <c r="A32" s="4"/>
      <c r="B32" s="4"/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F1"/>
  </mergeCells>
  <printOptions horizontalCentered="1"/>
  <pageMargins bottom="1.0" footer="0.0" header="0.0" left="0.75" right="0.75" top="1.0"/>
  <pageSetup fitToHeight="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 fitToPage="1"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5.0"/>
    <col customWidth="1" min="3" max="7" width="13.0"/>
    <col customWidth="1" min="8" max="8" width="4.0"/>
    <col customWidth="1" min="9" max="9" width="46.0"/>
    <col customWidth="1" min="10" max="26" width="8.71"/>
  </cols>
  <sheetData>
    <row r="1" ht="25.5" customHeight="1">
      <c r="A1" s="2" t="s">
        <v>3</v>
      </c>
      <c r="H1" s="4"/>
      <c r="I1" s="4"/>
    </row>
    <row r="2" ht="15.0" customHeight="1">
      <c r="A2" s="3"/>
      <c r="B2" s="4"/>
      <c r="C2" s="4"/>
      <c r="D2" s="4"/>
      <c r="E2" s="4"/>
      <c r="F2" s="4"/>
      <c r="G2" s="4"/>
      <c r="H2" s="4"/>
      <c r="I2" s="4"/>
    </row>
    <row r="3" ht="15.0" customHeight="1">
      <c r="A3" s="4"/>
      <c r="B3" s="8" t="s">
        <v>6</v>
      </c>
      <c r="C3" s="8" t="s">
        <v>10</v>
      </c>
      <c r="D3" s="8" t="s">
        <v>13</v>
      </c>
      <c r="E3" s="8" t="s">
        <v>16</v>
      </c>
      <c r="F3" s="8" t="s">
        <v>19</v>
      </c>
      <c r="G3" s="8" t="s">
        <v>21</v>
      </c>
      <c r="H3" s="4"/>
      <c r="I3" s="4"/>
    </row>
    <row r="4" ht="21.75" customHeight="1">
      <c r="A4" s="13" t="s">
        <v>23</v>
      </c>
      <c r="B4" s="18">
        <f>'Historical Financials'!F4</f>
        <v>215938</v>
      </c>
      <c r="C4" s="24">
        <f t="shared" ref="C4:G4" si="1">B4*(1+C5)</f>
        <v>345500.8</v>
      </c>
      <c r="D4" s="24">
        <f t="shared" si="1"/>
        <v>466426.08</v>
      </c>
      <c r="E4" s="24">
        <f t="shared" si="1"/>
        <v>569039.8176</v>
      </c>
      <c r="F4" s="24">
        <f t="shared" si="1"/>
        <v>654395.7902</v>
      </c>
      <c r="G4" s="24">
        <f t="shared" si="1"/>
        <v>719835.3693</v>
      </c>
      <c r="H4" s="4"/>
      <c r="I4" s="15"/>
    </row>
    <row r="5" ht="15.0" customHeight="1">
      <c r="A5" s="13" t="s">
        <v>27</v>
      </c>
      <c r="B5" s="26">
        <f>'Historical Financials'!F5</f>
        <v>0.6547353579</v>
      </c>
      <c r="C5" s="26">
        <f>Assumptions!B6</f>
        <v>0.6</v>
      </c>
      <c r="D5" s="26">
        <f>Assumptions!C6</f>
        <v>0.35</v>
      </c>
      <c r="E5" s="26">
        <f>Assumptions!D6</f>
        <v>0.22</v>
      </c>
      <c r="F5" s="26">
        <f>Assumptions!E6</f>
        <v>0.15</v>
      </c>
      <c r="G5" s="26">
        <f>Assumptions!F6</f>
        <v>0.1</v>
      </c>
      <c r="H5" s="4"/>
      <c r="I5" s="15"/>
    </row>
    <row r="6" ht="15.0" customHeight="1">
      <c r="A6" s="13" t="s">
        <v>36</v>
      </c>
      <c r="B6" s="18">
        <f>'Historical Financials'!F6</f>
        <v>130387</v>
      </c>
      <c r="C6" s="24">
        <f>C4*Assumptions!B7</f>
        <v>210755.488</v>
      </c>
      <c r="D6" s="24">
        <f>D4*Assumptions!C7</f>
        <v>279855.648</v>
      </c>
      <c r="E6" s="24">
        <f>E4*Assumptions!D7</f>
        <v>330043.0942</v>
      </c>
      <c r="F6" s="24">
        <f>F4*Assumptions!E7</f>
        <v>366461.6425</v>
      </c>
      <c r="G6" s="24">
        <f>G4*Assumptions!F7</f>
        <v>395909.4531</v>
      </c>
      <c r="H6" s="4"/>
      <c r="I6" s="15"/>
    </row>
    <row r="7" ht="21.75" customHeight="1">
      <c r="A7" s="13" t="s">
        <v>41</v>
      </c>
      <c r="B7" s="26">
        <f>'Historical Financials'!F7</f>
        <v>0.6038168363</v>
      </c>
      <c r="C7" s="16">
        <f t="shared" ref="C7:G7" si="2">IFERROR(C6/C4,"")</f>
        <v>0.61</v>
      </c>
      <c r="D7" s="16">
        <f t="shared" si="2"/>
        <v>0.6</v>
      </c>
      <c r="E7" s="16">
        <f t="shared" si="2"/>
        <v>0.58</v>
      </c>
      <c r="F7" s="16">
        <f t="shared" si="2"/>
        <v>0.56</v>
      </c>
      <c r="G7" s="16">
        <f t="shared" si="2"/>
        <v>0.55</v>
      </c>
      <c r="H7" s="4"/>
      <c r="I7" s="15"/>
    </row>
    <row r="8" ht="15.0" customHeight="1">
      <c r="A8" s="13" t="s">
        <v>42</v>
      </c>
      <c r="B8" s="26">
        <f>'Historical Financials'!F8</f>
        <v>0.1512</v>
      </c>
      <c r="C8" s="26">
        <f>Assumptions!B8</f>
        <v>0.165</v>
      </c>
      <c r="D8" s="26">
        <f>Assumptions!C8</f>
        <v>0.17</v>
      </c>
      <c r="E8" s="26">
        <f>Assumptions!D8</f>
        <v>0.175</v>
      </c>
      <c r="F8" s="26">
        <f>Assumptions!E8</f>
        <v>0.18</v>
      </c>
      <c r="G8" s="26">
        <f>Assumptions!F8</f>
        <v>0.19</v>
      </c>
      <c r="H8" s="4"/>
      <c r="I8" s="15"/>
    </row>
    <row r="9" ht="15.0" customHeight="1">
      <c r="A9" s="13" t="s">
        <v>52</v>
      </c>
      <c r="B9" s="18">
        <f>'Historical Financials'!F9</f>
        <v>19714.5144</v>
      </c>
      <c r="C9" s="24">
        <f t="shared" ref="C9:G9" si="3">C6*C8</f>
        <v>34774.65552</v>
      </c>
      <c r="D9" s="24">
        <f t="shared" si="3"/>
        <v>47575.46016</v>
      </c>
      <c r="E9" s="24">
        <f t="shared" si="3"/>
        <v>57757.54149</v>
      </c>
      <c r="F9" s="24">
        <f t="shared" si="3"/>
        <v>65963.09566</v>
      </c>
      <c r="G9" s="24">
        <f t="shared" si="3"/>
        <v>75222.79609</v>
      </c>
      <c r="H9" s="4"/>
      <c r="I9" s="15"/>
    </row>
    <row r="10" ht="15.0" customHeight="1">
      <c r="A10" s="33" t="s">
        <v>55</v>
      </c>
      <c r="B10" s="18">
        <f>'Historical Financials'!F10</f>
        <v>110672.4856</v>
      </c>
      <c r="C10" s="34">
        <f t="shared" ref="C10:G10" si="4">C6-C9</f>
        <v>175980.8325</v>
      </c>
      <c r="D10" s="34">
        <f t="shared" si="4"/>
        <v>232280.1878</v>
      </c>
      <c r="E10" s="34">
        <f t="shared" si="4"/>
        <v>272285.5527</v>
      </c>
      <c r="F10" s="34">
        <f t="shared" si="4"/>
        <v>300498.5469</v>
      </c>
      <c r="G10" s="34">
        <f t="shared" si="4"/>
        <v>320686.657</v>
      </c>
      <c r="H10" s="4"/>
      <c r="I10" s="15"/>
    </row>
    <row r="11" ht="21.75" customHeight="1">
      <c r="A11" s="13" t="s">
        <v>60</v>
      </c>
      <c r="B11" s="18">
        <f>'Historical Financials'!F11</f>
        <v>2843</v>
      </c>
      <c r="C11" s="24">
        <f>C4*Assumptions!B10</f>
        <v>4837.0112</v>
      </c>
      <c r="D11" s="24">
        <f>D4*Assumptions!C10</f>
        <v>6996.3912</v>
      </c>
      <c r="E11" s="24">
        <f>E4*Assumptions!D10</f>
        <v>9104.637082</v>
      </c>
      <c r="F11" s="24">
        <f>F4*Assumptions!E10</f>
        <v>11124.72843</v>
      </c>
      <c r="G11" s="24">
        <f>G4*Assumptions!F10</f>
        <v>12957.03665</v>
      </c>
      <c r="H11" s="4"/>
      <c r="I11" s="15"/>
    </row>
    <row r="12" ht="21.75" customHeight="1">
      <c r="A12" s="13" t="s">
        <v>63</v>
      </c>
      <c r="B12" s="18">
        <f>'Historical Financials'!F12</f>
        <v>6042</v>
      </c>
      <c r="C12" s="24">
        <f>C4*Assumptions!B9</f>
        <v>9674.0224</v>
      </c>
      <c r="D12" s="24">
        <f>D4*Assumptions!C9</f>
        <v>13992.7824</v>
      </c>
      <c r="E12" s="24">
        <f>E4*Assumptions!D9</f>
        <v>18209.27416</v>
      </c>
      <c r="F12" s="24">
        <f>F4*Assumptions!E9</f>
        <v>21595.06108</v>
      </c>
      <c r="G12" s="24">
        <f>G4*Assumptions!F9</f>
        <v>25194.23792</v>
      </c>
      <c r="H12" s="4"/>
      <c r="I12" s="15"/>
    </row>
    <row r="13" ht="21.75" customHeight="1">
      <c r="A13" s="13" t="s">
        <v>66</v>
      </c>
      <c r="B13" s="18">
        <f>'Historical Financials'!F13</f>
        <v>13016</v>
      </c>
      <c r="C13" s="24">
        <f>C4*Assumptions!B11</f>
        <v>20730.048</v>
      </c>
      <c r="D13" s="24">
        <f>D4*Assumptions!C11</f>
        <v>25653.4344</v>
      </c>
      <c r="E13" s="24">
        <f>E4*Assumptions!D11</f>
        <v>28451.99088</v>
      </c>
      <c r="F13" s="24">
        <f>F4*Assumptions!E11</f>
        <v>29447.81056</v>
      </c>
      <c r="G13" s="24">
        <f>G4*Assumptions!F11</f>
        <v>28793.41477</v>
      </c>
      <c r="H13" s="4"/>
      <c r="I13" s="15"/>
    </row>
    <row r="14" ht="21.75" customHeight="1">
      <c r="A14" s="33" t="s">
        <v>68</v>
      </c>
      <c r="B14" s="18">
        <f>'Historical Financials'!F14</f>
        <v>94457.4856</v>
      </c>
      <c r="C14" s="34">
        <f t="shared" ref="C14:G14" si="5">C10+C11-C12-C13</f>
        <v>150413.7733</v>
      </c>
      <c r="D14" s="34">
        <f t="shared" si="5"/>
        <v>199630.3622</v>
      </c>
      <c r="E14" s="34">
        <f t="shared" si="5"/>
        <v>234728.9248</v>
      </c>
      <c r="F14" s="34">
        <f t="shared" si="5"/>
        <v>260580.4037</v>
      </c>
      <c r="G14" s="34">
        <f t="shared" si="5"/>
        <v>279656.041</v>
      </c>
      <c r="H14" s="4"/>
      <c r="I14" s="15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1">
    <mergeCell ref="A1:G1"/>
  </mergeCells>
  <printOptions horizontalCentered="1"/>
  <pageMargins bottom="1.0" footer="0.0" header="0.0" left="0.75" right="0.75" top="1.0"/>
  <pageSetup fitToHeight="0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 fitToPage="1"/>
  </sheetPr>
  <sheetViews>
    <sheetView showGridLines="0" workbookViewId="0"/>
  </sheetViews>
  <sheetFormatPr customHeight="1" defaultColWidth="14.43" defaultRowHeight="15.0"/>
  <cols>
    <col customWidth="1" min="1" max="1" width="49.14"/>
    <col customWidth="1" min="2" max="6" width="13.0"/>
    <col customWidth="1" min="7" max="7" width="4.0"/>
    <col customWidth="1" min="8" max="8" width="50.0"/>
    <col customWidth="1" min="9" max="26" width="8.71"/>
  </cols>
  <sheetData>
    <row r="1" ht="25.5" customHeight="1">
      <c r="A1" s="2" t="s">
        <v>92</v>
      </c>
      <c r="G1" s="4"/>
      <c r="H1" s="4"/>
    </row>
    <row r="2" ht="15.0" customHeight="1">
      <c r="A2" s="3"/>
      <c r="B2" s="4"/>
      <c r="C2" s="4"/>
      <c r="D2" s="4"/>
      <c r="E2" s="4"/>
      <c r="F2" s="4"/>
      <c r="G2" s="4"/>
      <c r="H2" s="4"/>
    </row>
    <row r="3" ht="15.0" customHeight="1">
      <c r="A3" s="4"/>
      <c r="B3" s="8" t="s">
        <v>10</v>
      </c>
      <c r="C3" s="8" t="s">
        <v>13</v>
      </c>
      <c r="D3" s="8" t="s">
        <v>16</v>
      </c>
      <c r="E3" s="8" t="s">
        <v>19</v>
      </c>
      <c r="F3" s="8" t="s">
        <v>21</v>
      </c>
      <c r="G3" s="4"/>
      <c r="H3" s="4"/>
    </row>
    <row r="4" ht="15.0" customHeight="1">
      <c r="A4" s="13" t="s">
        <v>68</v>
      </c>
      <c r="B4" s="18">
        <f>Forecast!C14</f>
        <v>150413.7733</v>
      </c>
      <c r="C4" s="18">
        <f>Forecast!D14</f>
        <v>199630.3622</v>
      </c>
      <c r="D4" s="18">
        <f>Forecast!E14</f>
        <v>234728.9248</v>
      </c>
      <c r="E4" s="18">
        <f>Forecast!F14</f>
        <v>260580.4037</v>
      </c>
      <c r="F4" s="18">
        <f>Forecast!G14</f>
        <v>279656.041</v>
      </c>
      <c r="G4" s="4"/>
      <c r="H4" s="15"/>
    </row>
    <row r="5" ht="21.75" customHeight="1">
      <c r="A5" s="13" t="s">
        <v>93</v>
      </c>
      <c r="B5" s="42">
        <v>1.0</v>
      </c>
      <c r="C5" s="42">
        <v>2.0</v>
      </c>
      <c r="D5" s="42">
        <v>3.0</v>
      </c>
      <c r="E5" s="42">
        <v>4.0</v>
      </c>
      <c r="F5" s="42">
        <v>5.0</v>
      </c>
      <c r="G5" s="4"/>
      <c r="H5" s="15"/>
    </row>
    <row r="6" ht="15.0" customHeight="1">
      <c r="A6" s="13" t="s">
        <v>94</v>
      </c>
      <c r="B6" s="43">
        <f>1/(1+Assumptions!$B$26)^B5</f>
        <v>0.896035882</v>
      </c>
      <c r="C6" s="43">
        <f>1/(1+Assumptions!$B$26)^C5</f>
        <v>0.8028803019</v>
      </c>
      <c r="D6" s="43">
        <f>1/(1+Assumptions!$B$26)^D5</f>
        <v>0.7194095594</v>
      </c>
      <c r="E6" s="43">
        <f>1/(1+Assumptions!$B$26)^E5</f>
        <v>0.6446167791</v>
      </c>
      <c r="F6" s="43">
        <f>1/(1+Assumptions!$B$26)^F5</f>
        <v>0.5775997642</v>
      </c>
      <c r="G6" s="4"/>
      <c r="H6" s="15"/>
    </row>
    <row r="7" ht="15.0" customHeight="1">
      <c r="A7" s="33" t="s">
        <v>95</v>
      </c>
      <c r="B7" s="34">
        <f t="shared" ref="B7:F7" si="1">B4*B6</f>
        <v>134776.138</v>
      </c>
      <c r="C7" s="34">
        <f t="shared" si="1"/>
        <v>160279.2855</v>
      </c>
      <c r="D7" s="34">
        <f t="shared" si="1"/>
        <v>168866.2323</v>
      </c>
      <c r="E7" s="34">
        <f t="shared" si="1"/>
        <v>167974.5005</v>
      </c>
      <c r="F7" s="34">
        <f t="shared" si="1"/>
        <v>161529.2633</v>
      </c>
      <c r="G7" s="4"/>
      <c r="H7" s="15"/>
    </row>
    <row r="8">
      <c r="A8" s="4"/>
      <c r="B8" s="4"/>
      <c r="C8" s="4"/>
      <c r="D8" s="4"/>
      <c r="E8" s="4"/>
      <c r="F8" s="4"/>
      <c r="G8" s="4"/>
      <c r="H8" s="15"/>
    </row>
    <row r="9" ht="15.0" customHeight="1">
      <c r="A9" s="33" t="s">
        <v>96</v>
      </c>
      <c r="B9" s="44">
        <f>SUM(B7:F7)</f>
        <v>793425.4197</v>
      </c>
      <c r="C9" s="4"/>
      <c r="D9" s="4"/>
      <c r="E9" s="4"/>
      <c r="F9" s="4"/>
      <c r="G9" s="4"/>
      <c r="H9" s="15"/>
    </row>
    <row r="10">
      <c r="A10" s="4"/>
      <c r="B10" s="4"/>
      <c r="C10" s="4"/>
      <c r="D10" s="4"/>
      <c r="E10" s="4"/>
      <c r="F10" s="4"/>
      <c r="G10" s="4"/>
      <c r="H10" s="15"/>
    </row>
    <row r="11" ht="18.0" customHeight="1">
      <c r="A11" s="10" t="s">
        <v>97</v>
      </c>
      <c r="B11" s="11"/>
      <c r="C11" s="11"/>
      <c r="D11" s="11"/>
      <c r="E11" s="11"/>
      <c r="F11" s="12"/>
      <c r="G11" s="4"/>
      <c r="H11" s="15"/>
    </row>
    <row r="12" ht="15.0" customHeight="1">
      <c r="A12" s="13" t="s">
        <v>98</v>
      </c>
      <c r="B12" s="24">
        <f>F4*(1+Assumptions!$B$29)</f>
        <v>288045.7222</v>
      </c>
      <c r="C12" s="4"/>
      <c r="D12" s="4"/>
      <c r="E12" s="4"/>
      <c r="F12" s="4"/>
      <c r="G12" s="4"/>
      <c r="H12" s="15"/>
    </row>
    <row r="13" ht="15.0" customHeight="1">
      <c r="A13" s="13" t="s">
        <v>99</v>
      </c>
      <c r="B13" s="24">
        <f>IFERROR(B12/(Assumptions!$B$26-Assumptions!$B$29),"")</f>
        <v>3348327.954</v>
      </c>
      <c r="C13" s="4"/>
      <c r="D13" s="4"/>
      <c r="E13" s="4"/>
      <c r="F13" s="4"/>
      <c r="G13" s="4"/>
      <c r="H13" s="15"/>
    </row>
    <row r="14" ht="21.75" customHeight="1">
      <c r="A14" s="13" t="s">
        <v>100</v>
      </c>
      <c r="B14" s="43">
        <f>F6</f>
        <v>0.5775997642</v>
      </c>
      <c r="C14" s="4"/>
      <c r="D14" s="4"/>
      <c r="E14" s="4"/>
      <c r="F14" s="4"/>
      <c r="G14" s="4"/>
      <c r="H14" s="15"/>
    </row>
    <row r="15" ht="15.0" customHeight="1">
      <c r="A15" s="33" t="s">
        <v>101</v>
      </c>
      <c r="B15" s="34">
        <f>IFERROR(B13*B14,"")</f>
        <v>1933993.437</v>
      </c>
      <c r="C15" s="4"/>
      <c r="D15" s="4"/>
      <c r="E15" s="4"/>
      <c r="F15" s="4"/>
      <c r="G15" s="4"/>
      <c r="H15" s="15"/>
    </row>
    <row r="16">
      <c r="A16" s="4"/>
      <c r="B16" s="4"/>
      <c r="C16" s="4"/>
      <c r="D16" s="4"/>
      <c r="E16" s="4"/>
      <c r="F16" s="4"/>
      <c r="G16" s="4"/>
      <c r="H16" s="15"/>
    </row>
    <row r="17" ht="18.0" customHeight="1">
      <c r="A17" s="10" t="s">
        <v>102</v>
      </c>
      <c r="B17" s="11"/>
      <c r="C17" s="11"/>
      <c r="D17" s="11"/>
      <c r="E17" s="11"/>
      <c r="F17" s="12"/>
      <c r="G17" s="4"/>
      <c r="H17" s="15"/>
    </row>
    <row r="18" ht="15.0" customHeight="1">
      <c r="A18" s="13" t="s">
        <v>103</v>
      </c>
      <c r="B18" s="24">
        <f>IFERROR(B9+B15,"")</f>
        <v>2727418.857</v>
      </c>
      <c r="C18" s="4"/>
      <c r="D18" s="4"/>
      <c r="E18" s="4"/>
      <c r="F18" s="4"/>
      <c r="G18" s="4"/>
      <c r="H18" s="15"/>
    </row>
    <row r="19" ht="21.75" customHeight="1">
      <c r="A19" s="13" t="s">
        <v>104</v>
      </c>
      <c r="B19" s="18">
        <f>-'Historical Financials'!F19</f>
        <v>51516</v>
      </c>
      <c r="C19" s="4"/>
      <c r="D19" s="4"/>
      <c r="E19" s="4"/>
      <c r="F19" s="4"/>
      <c r="G19" s="4"/>
      <c r="H19" s="15"/>
    </row>
    <row r="20" ht="15.0" customHeight="1">
      <c r="A20" s="33" t="s">
        <v>105</v>
      </c>
      <c r="B20" s="38">
        <f>IFERROR(B18+B19,"")</f>
        <v>2778934.857</v>
      </c>
      <c r="C20" s="4"/>
      <c r="D20" s="4"/>
      <c r="E20" s="4"/>
      <c r="F20" s="4"/>
      <c r="G20" s="4"/>
      <c r="H20" s="15"/>
    </row>
    <row r="21" ht="15.0" customHeight="1">
      <c r="A21" s="13" t="s">
        <v>73</v>
      </c>
      <c r="B21" s="45">
        <f>Assumptions!$B$33</f>
        <v>24460</v>
      </c>
      <c r="C21" s="4"/>
      <c r="D21" s="4"/>
      <c r="E21" s="4"/>
      <c r="F21" s="4"/>
      <c r="G21" s="4"/>
      <c r="H21" s="15"/>
    </row>
    <row r="22" ht="15.0" customHeight="1">
      <c r="A22" s="33" t="s">
        <v>106</v>
      </c>
      <c r="B22" s="46">
        <f>IFERROR(B20/B21,"")</f>
        <v>113.6114005</v>
      </c>
      <c r="C22" s="4"/>
      <c r="D22" s="4"/>
      <c r="E22" s="4"/>
      <c r="F22" s="4"/>
      <c r="G22" s="4"/>
      <c r="H22" s="15"/>
    </row>
    <row r="23" ht="21.75" customHeight="1">
      <c r="A23" s="13" t="s">
        <v>107</v>
      </c>
      <c r="B23" s="47">
        <f>Assumptions!$B$32</f>
        <v>208.76</v>
      </c>
      <c r="C23" s="4"/>
      <c r="D23" s="4"/>
      <c r="E23" s="4"/>
      <c r="F23" s="4"/>
      <c r="G23" s="4"/>
      <c r="H23" s="15"/>
    </row>
    <row r="24" ht="15.0" customHeight="1">
      <c r="A24" s="33" t="s">
        <v>108</v>
      </c>
      <c r="B24" s="48">
        <f>IFERROR(B22/B23-1,"")</f>
        <v>-0.4557798404</v>
      </c>
      <c r="C24" s="4"/>
      <c r="D24" s="4"/>
      <c r="E24" s="4"/>
      <c r="F24" s="4"/>
      <c r="G24" s="4"/>
      <c r="H24" s="15"/>
    </row>
    <row r="25" ht="15.75" customHeight="1">
      <c r="A25" s="4"/>
      <c r="B25" s="4"/>
      <c r="C25" s="4"/>
      <c r="D25" s="4"/>
      <c r="E25" s="4"/>
      <c r="F25" s="4"/>
      <c r="G25" s="4"/>
      <c r="H25" s="15"/>
    </row>
    <row r="26" ht="32.25" customHeight="1">
      <c r="A26" s="13" t="s">
        <v>109</v>
      </c>
      <c r="B26" s="16">
        <f>IFERROR(B15/B18,"")</f>
        <v>0.7090929332</v>
      </c>
      <c r="C26" s="4"/>
      <c r="D26" s="4"/>
      <c r="E26" s="4"/>
      <c r="F26" s="4"/>
      <c r="G26" s="4"/>
      <c r="H26" s="15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5.75" customHeight="1">
      <c r="A32" s="4"/>
      <c r="B32" s="4"/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3">
    <mergeCell ref="A1:F1"/>
    <mergeCell ref="A11:F11"/>
    <mergeCell ref="A17:F17"/>
  </mergeCells>
  <conditionalFormatting sqref="B26">
    <cfRule type="colorScale" priority="1">
      <colorScale>
        <cfvo type="formula" val="0.5"/>
        <cfvo type="formula" val="0.9"/>
        <color rgb="FFFFFFFF"/>
        <color rgb="FFFFC7CE"/>
      </colorScale>
    </cfRule>
  </conditionalFormatting>
  <printOptions horizontalCentered="1"/>
  <pageMargins bottom="1.0" footer="0.0" header="0.0" left="0.75" right="0.75" top="1.0"/>
  <pageSetup fitToHeight="0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1" width="33.57"/>
    <col customWidth="1" min="2" max="6" width="13.0"/>
    <col customWidth="1" min="7" max="26" width="8.71"/>
  </cols>
  <sheetData>
    <row r="1" ht="25.5" customHeight="1">
      <c r="A1" s="2" t="s">
        <v>110</v>
      </c>
      <c r="G1" s="4"/>
      <c r="H1" s="4"/>
    </row>
    <row r="2" ht="15.0" customHeight="1">
      <c r="A2" s="3" t="s">
        <v>111</v>
      </c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 ht="15.0" customHeight="1">
      <c r="A4" s="33" t="s">
        <v>112</v>
      </c>
      <c r="B4" s="49">
        <f>'DCF Valuation'!B22</f>
        <v>113.6114005</v>
      </c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 ht="15.0" customHeight="1">
      <c r="A6" s="4"/>
      <c r="B6" s="50" t="s">
        <v>113</v>
      </c>
      <c r="C6" s="11"/>
      <c r="D6" s="11"/>
      <c r="E6" s="11"/>
      <c r="F6" s="12"/>
      <c r="G6" s="4"/>
      <c r="H6" s="4"/>
    </row>
    <row r="7" ht="15.0" customHeight="1">
      <c r="A7" s="51" t="s">
        <v>114</v>
      </c>
      <c r="B7" s="52">
        <f>Assumptions!$B$29+(-0.01)</f>
        <v>0.02</v>
      </c>
      <c r="C7" s="52">
        <f>Assumptions!$B$29+(-0.005)</f>
        <v>0.025</v>
      </c>
      <c r="D7" s="52">
        <f>Assumptions!$B$29+(0)</f>
        <v>0.03</v>
      </c>
      <c r="E7" s="52">
        <f>Assumptions!$B$29+(0.005)</f>
        <v>0.035</v>
      </c>
      <c r="F7" s="52">
        <f>Assumptions!$B$29+(0.01)</f>
        <v>0.04</v>
      </c>
      <c r="G7" s="4"/>
      <c r="H7" s="4"/>
    </row>
    <row r="8" ht="15.0" customHeight="1">
      <c r="A8" s="52">
        <f>Assumptions!$B$26+(-0.01)</f>
        <v>0.1060267352</v>
      </c>
      <c r="B8" s="53">
        <f t="array" ref="B8">IFERROR((SUMPRODUCT(Forecast!$C$14:$G$14,1/(1+$A8)^{1,2,3,4,5})+(Forecast!$G$14*(1+B$7))/($A8-B$7)/(1+$A8)^5+'Historical Financials'!$F$19*-1)/Assumptions!$B$33,"n/m")</f>
        <v>117.3615734</v>
      </c>
      <c r="C8" s="53">
        <f t="array" ref="C8">IFERROR((SUMPRODUCT(Forecast!$C$14:$G$14,1/(1+$A8)^{1,2,3,4,5})+(Forecast!$G$14*(1+C$7))/($A8-C$7)/(1+$A8)^5+'Historical Financials'!$F$19*-1)/Assumptions!$B$33,"n/m")</f>
        <v>122.8419888</v>
      </c>
      <c r="D8" s="53">
        <f t="array" ref="D8">IFERROR((SUMPRODUCT(Forecast!$C$14:$G$14,1/(1+$A8)^{1,2,3,4,5})+(Forecast!$G$14*(1+D$7))/($A8-D$7)/(1+$A8)^5+'Historical Financials'!$F$19*-1)/Assumptions!$B$33,"n/m")</f>
        <v>129.0432579</v>
      </c>
      <c r="E8" s="53">
        <f t="array" ref="E8">IFERROR((SUMPRODUCT(Forecast!$C$14:$G$14,1/(1+$A8)^{1,2,3,4,5})+(Forecast!$G$14*(1+E$7))/($A8-E$7)/(1+$A8)^5+'Historical Financials'!$F$19*-1)/Assumptions!$B$33,"n/m")</f>
        <v>136.1176164</v>
      </c>
      <c r="F8" s="53">
        <f t="array" ref="F8">IFERROR((SUMPRODUCT(Forecast!$C$14:$G$14,1/(1+$A8)^{1,2,3,4,5})+(Forecast!$G$14*(1+F$7))/($A8-F$7)/(1+$A8)^5+'Historical Financials'!$F$19*-1)/Assumptions!$B$33,"n/m")</f>
        <v>144.2634134</v>
      </c>
      <c r="G8" s="4"/>
      <c r="H8" s="4"/>
    </row>
    <row r="9" ht="15.0" customHeight="1">
      <c r="A9" s="52">
        <f>Assumptions!$B$26+(-0.005)</f>
        <v>0.1110267352</v>
      </c>
      <c r="B9" s="53">
        <f t="array" ref="B9">IFERROR((SUMPRODUCT(Forecast!$C$14:$G$14,1/(1+$A9)^{1,2,3,4,5})+(Forecast!$G$14*(1+B$7))/($A9-B$7)/(1+$A9)^5+'Historical Financials'!$F$19*-1)/Assumptions!$B$33,"n/m")</f>
        <v>110.6749169</v>
      </c>
      <c r="C9" s="53">
        <f t="array" ref="C9">IFERROR((SUMPRODUCT(Forecast!$C$14:$G$14,1/(1+$A9)^{1,2,3,4,5})+(Forecast!$G$14*(1+C$7))/($A9-C$7)/(1+$A9)^5+'Historical Financials'!$F$19*-1)/Assumptions!$B$33,"n/m")</f>
        <v>115.4660398</v>
      </c>
      <c r="D9" s="53">
        <f t="array" ref="D9">IFERROR((SUMPRODUCT(Forecast!$C$14:$G$14,1/(1+$A9)^{1,2,3,4,5})+(Forecast!$G$14*(1+D$7))/($A9-D$7)/(1+$A9)^5+'Historical Financials'!$F$19*-1)/Assumptions!$B$33,"n/m")</f>
        <v>120.8484642</v>
      </c>
      <c r="E9" s="53">
        <f t="array" ref="E9">IFERROR((SUMPRODUCT(Forecast!$C$14:$G$14,1/(1+$A9)^{1,2,3,4,5})+(Forecast!$G$14*(1+E$7))/($A9-E$7)/(1+$A9)^5+'Historical Financials'!$F$19*-1)/Assumptions!$B$33,"n/m")</f>
        <v>126.9388533</v>
      </c>
      <c r="F9" s="53">
        <f t="array" ref="F9">IFERROR((SUMPRODUCT(Forecast!$C$14:$G$14,1/(1+$A9)^{1,2,3,4,5})+(Forecast!$G$14*(1+F$7))/($A9-F$7)/(1+$A9)^5+'Historical Financials'!$F$19*-1)/Assumptions!$B$33,"n/m")</f>
        <v>133.8867207</v>
      </c>
      <c r="G9" s="4"/>
      <c r="H9" s="4"/>
    </row>
    <row r="10" ht="15.0" customHeight="1">
      <c r="A10" s="52">
        <f>Assumptions!$B$26+(0)</f>
        <v>0.1160267352</v>
      </c>
      <c r="B10" s="53">
        <f t="array" ref="B10">IFERROR((SUMPRODUCT(Forecast!$C$14:$G$14,1/(1+$A10)^{1,2,3,4,5})+(Forecast!$G$14*(1+B$7))/($A10-B$7)/(1+$A10)^5+'Historical Financials'!$F$19*-1)/Assumptions!$B$33,"n/m")</f>
        <v>104.6897799</v>
      </c>
      <c r="C10" s="53">
        <f t="array" ref="C10">IFERROR((SUMPRODUCT(Forecast!$C$14:$G$14,1/(1+$A10)^{1,2,3,4,5})+(Forecast!$G$14*(1+C$7))/($A10-C$7)/(1+$A10)^5+'Historical Financials'!$F$19*-1)/Assumptions!$B$33,"n/m")</f>
        <v>108.9055627</v>
      </c>
      <c r="D10" s="53">
        <f t="array" ref="D10">IFERROR((SUMPRODUCT(Forecast!$C$14:$G$14,1/(1+$A10)^{1,2,3,4,5})+(Forecast!$G$14*(1+D$7))/($A10-D$7)/(1+$A10)^5+'Historical Financials'!$F$19*-1)/Assumptions!$B$33,"n/m")</f>
        <v>113.6114005</v>
      </c>
      <c r="E10" s="53">
        <f t="array" ref="E10">IFERROR((SUMPRODUCT(Forecast!$C$14:$G$14,1/(1+$A10)^{1,2,3,4,5})+(Forecast!$G$14*(1+E$7))/($A10-E$7)/(1+$A10)^5+'Historical Financials'!$F$19*-1)/Assumptions!$B$33,"n/m")</f>
        <v>118.8980143</v>
      </c>
      <c r="F10" s="53">
        <f t="array" ref="F10">IFERROR((SUMPRODUCT(Forecast!$C$14:$G$14,1/(1+$A10)^{1,2,3,4,5})+(Forecast!$G$14*(1+F$7))/($A10-F$7)/(1+$A10)^5+'Historical Financials'!$F$19*-1)/Assumptions!$B$33,"n/m")</f>
        <v>124.8799905</v>
      </c>
      <c r="G10" s="4"/>
      <c r="H10" s="4"/>
    </row>
    <row r="11" ht="15.0" customHeight="1">
      <c r="A11" s="52">
        <f>Assumptions!$B$26+(0.005)</f>
        <v>0.1210267352</v>
      </c>
      <c r="B11" s="53">
        <f t="array" ref="B11">IFERROR((SUMPRODUCT(Forecast!$C$14:$G$14,1/(1+$A11)^{1,2,3,4,5})+(Forecast!$G$14*(1+B$7))/($A11-B$7)/(1+$A11)^5+'Historical Financials'!$F$19*-1)/Assumptions!$B$33,"n/m")</f>
        <v>99.3018992</v>
      </c>
      <c r="C11" s="53">
        <f t="array" ref="C11">IFERROR((SUMPRODUCT(Forecast!$C$14:$G$14,1/(1+$A11)^{1,2,3,4,5})+(Forecast!$G$14*(1+C$7))/($A11-C$7)/(1+$A11)^5+'Historical Financials'!$F$19*-1)/Assumptions!$B$33,"n/m")</f>
        <v>103.0330723</v>
      </c>
      <c r="D11" s="53">
        <f t="array" ref="D11">IFERROR((SUMPRODUCT(Forecast!$C$14:$G$14,1/(1+$A11)^{1,2,3,4,5})+(Forecast!$G$14*(1+D$7))/($A11-D$7)/(1+$A11)^5+'Historical Financials'!$F$19*-1)/Assumptions!$B$33,"n/m")</f>
        <v>107.1741439</v>
      </c>
      <c r="E11" s="53">
        <f t="array" ref="E11">IFERROR((SUMPRODUCT(Forecast!$C$14:$G$14,1/(1+$A11)^{1,2,3,4,5})+(Forecast!$G$14*(1+E$7))/($A11-E$7)/(1+$A11)^5+'Historical Financials'!$F$19*-1)/Assumptions!$B$33,"n/m")</f>
        <v>111.7965859</v>
      </c>
      <c r="F11" s="53">
        <f t="array" ref="F11">IFERROR((SUMPRODUCT(Forecast!$C$14:$G$14,1/(1+$A11)^{1,2,3,4,5})+(Forecast!$G$14*(1+F$7))/($A11-F$7)/(1+$A11)^5+'Historical Financials'!$F$19*-1)/Assumptions!$B$33,"n/m")</f>
        <v>116.9895115</v>
      </c>
      <c r="G11" s="4"/>
      <c r="H11" s="4"/>
    </row>
    <row r="12" ht="15.0" customHeight="1">
      <c r="A12" s="52">
        <f>Assumptions!$B$26+(0.01)</f>
        <v>0.1260267352</v>
      </c>
      <c r="B12" s="53">
        <f t="array" ref="B12">IFERROR((SUMPRODUCT(Forecast!$C$14:$G$14,1/(1+$A12)^{1,2,3,4,5})+(Forecast!$G$14*(1+B$7))/($A12-B$7)/(1+$A12)^5+'Historical Financials'!$F$19*-1)/Assumptions!$B$33,"n/m")</f>
        <v>94.42668191</v>
      </c>
      <c r="C12" s="53">
        <f t="array" ref="C12">IFERROR((SUMPRODUCT(Forecast!$C$14:$G$14,1/(1+$A12)^{1,2,3,4,5})+(Forecast!$G$14*(1+C$7))/($A12-C$7)/(1+$A12)^5+'Historical Financials'!$F$19*-1)/Assumptions!$B$33,"n/m")</f>
        <v>97.74632385</v>
      </c>
      <c r="D12" s="53">
        <f t="array" ref="D12">IFERROR((SUMPRODUCT(Forecast!$C$14:$G$14,1/(1+$A12)^{1,2,3,4,5})+(Forecast!$G$14*(1+D$7))/($A12-D$7)/(1+$A12)^5+'Historical Financials'!$F$19*-1)/Assumptions!$B$33,"n/m")</f>
        <v>101.4116655</v>
      </c>
      <c r="E12" s="53">
        <f t="array" ref="E12">IFERROR((SUMPRODUCT(Forecast!$C$14:$G$14,1/(1+$A12)^{1,2,3,4,5})+(Forecast!$G$14*(1+E$7))/($A12-E$7)/(1+$A12)^5+'Historical Financials'!$F$19*-1)/Assumptions!$B$33,"n/m")</f>
        <v>105.4796737</v>
      </c>
      <c r="F12" s="53">
        <f t="array" ref="F12">IFERROR((SUMPRODUCT(Forecast!$C$14:$G$14,1/(1+$A12)^{1,2,3,4,5})+(Forecast!$G$14*(1+F$7))/($A12-F$7)/(1+$A12)^5+'Historical Financials'!$F$19*-1)/Assumptions!$B$33,"n/m")</f>
        <v>110.0205591</v>
      </c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 ht="15.0" customHeight="1">
      <c r="A14" s="33" t="s">
        <v>130</v>
      </c>
      <c r="B14" s="4"/>
      <c r="C14" s="4"/>
      <c r="D14" s="4"/>
      <c r="E14" s="4"/>
      <c r="F14" s="4"/>
      <c r="G14" s="4"/>
      <c r="H14" s="4"/>
    </row>
    <row r="15" ht="42.0" customHeight="1">
      <c r="A15" s="15" t="s">
        <v>131</v>
      </c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5.75" customHeight="1">
      <c r="A32" s="4"/>
      <c r="B32" s="4"/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3">
    <mergeCell ref="A1:F1"/>
    <mergeCell ref="B6:F6"/>
    <mergeCell ref="A15:F15"/>
  </mergeCells>
  <conditionalFormatting sqref="B8:F1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orizontalCentered="1"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32.14"/>
    <col customWidth="1" min="2" max="11" width="10.0"/>
    <col customWidth="1" min="12" max="26" width="8.71"/>
  </cols>
  <sheetData>
    <row r="1" ht="25.5" customHeight="1">
      <c r="A1" s="2" t="s">
        <v>115</v>
      </c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8.0" customHeight="1">
      <c r="A4" s="54" t="s">
        <v>116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5.0" customHeight="1">
      <c r="A5" s="55" t="s">
        <v>117</v>
      </c>
      <c r="B5" s="51" t="s">
        <v>118</v>
      </c>
      <c r="C5" s="51" t="s">
        <v>119</v>
      </c>
      <c r="D5" s="51" t="s">
        <v>120</v>
      </c>
      <c r="E5" s="51" t="s">
        <v>121</v>
      </c>
      <c r="F5" s="51" t="s">
        <v>122</v>
      </c>
      <c r="G5" s="51" t="s">
        <v>123</v>
      </c>
      <c r="H5" s="51" t="s">
        <v>124</v>
      </c>
      <c r="I5" s="51" t="s">
        <v>125</v>
      </c>
      <c r="J5" s="51" t="s">
        <v>126</v>
      </c>
      <c r="K5" s="51" t="s">
        <v>127</v>
      </c>
    </row>
    <row r="6" ht="15.0" customHeight="1">
      <c r="A6" s="13" t="s">
        <v>23</v>
      </c>
      <c r="B6" s="18">
        <f>'Historical Financials'!B4</f>
        <v>26914</v>
      </c>
      <c r="C6" s="18">
        <f>'Historical Financials'!C4</f>
        <v>26974</v>
      </c>
      <c r="D6" s="18">
        <f>'Historical Financials'!D4</f>
        <v>60922</v>
      </c>
      <c r="E6" s="18">
        <f>'Historical Financials'!E4</f>
        <v>130497</v>
      </c>
      <c r="F6" s="18">
        <f>'Historical Financials'!F4</f>
        <v>215938</v>
      </c>
      <c r="G6" s="18">
        <f>Forecast!C4</f>
        <v>345500.8</v>
      </c>
      <c r="H6" s="18">
        <f>Forecast!D4</f>
        <v>466426.08</v>
      </c>
      <c r="I6" s="18">
        <f>Forecast!E4</f>
        <v>569039.8176</v>
      </c>
      <c r="J6" s="18">
        <f>Forecast!F4</f>
        <v>654395.7902</v>
      </c>
      <c r="K6" s="18">
        <f>Forecast!G4</f>
        <v>719835.3693</v>
      </c>
    </row>
    <row r="7" ht="15.0" customHeight="1">
      <c r="A7" s="13" t="s">
        <v>68</v>
      </c>
      <c r="B7" s="18">
        <f>'Historical Financials'!B14</f>
        <v>10048.221</v>
      </c>
      <c r="C7" s="18">
        <f>'Historical Financials'!C14</f>
        <v>2945.8128</v>
      </c>
      <c r="D7" s="18">
        <f>'Historical Financials'!D14</f>
        <v>24938.36</v>
      </c>
      <c r="E7" s="18">
        <f>'Historical Financials'!E14</f>
        <v>59391.3322</v>
      </c>
      <c r="F7" s="18">
        <f>'Historical Financials'!F14</f>
        <v>94457.4856</v>
      </c>
      <c r="G7" s="18">
        <f>Forecast!C14</f>
        <v>150413.7733</v>
      </c>
      <c r="H7" s="18">
        <f>Forecast!D14</f>
        <v>199630.3622</v>
      </c>
      <c r="I7" s="18">
        <f>Forecast!E14</f>
        <v>234728.9248</v>
      </c>
      <c r="J7" s="18">
        <f>Forecast!F14</f>
        <v>260580.4037</v>
      </c>
      <c r="K7" s="18">
        <f>Forecast!G14</f>
        <v>279656.041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5.0" customHeight="1">
      <c r="A9" s="33" t="s">
        <v>128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15.0" customHeight="1">
      <c r="A10" s="13" t="s">
        <v>129</v>
      </c>
      <c r="B10" s="47">
        <f>'DCF Valuation'!B22</f>
        <v>113.6114005</v>
      </c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13" t="s">
        <v>107</v>
      </c>
      <c r="B11" s="47">
        <f>'DCF Valuation'!B23</f>
        <v>208.76</v>
      </c>
      <c r="C11" s="4"/>
      <c r="D11" s="4"/>
      <c r="E11" s="4"/>
      <c r="F11" s="4"/>
      <c r="G11" s="4"/>
      <c r="H11" s="4"/>
      <c r="I11" s="4"/>
      <c r="J11" s="4"/>
      <c r="K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2">
    <mergeCell ref="A1:K1"/>
    <mergeCell ref="A4:K4"/>
  </mergeCells>
  <printOptions horizontalCentered="1"/>
  <pageMargins bottom="1.0" footer="0.0" header="0.0" left="0.75" right="0.75" top="1.0"/>
  <pageSetup fitToHeight="0" orientation="landscape"/>
  <drawing r:id="rId1"/>
</worksheet>
</file>